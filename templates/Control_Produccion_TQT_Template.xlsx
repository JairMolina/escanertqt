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KYGUARDIAN\Desktop\"/>
    </mc:Choice>
  </mc:AlternateContent>
  <xr:revisionPtr revIDLastSave="0" documentId="13_ncr:1_{22F65B11-B552-4AFF-8E5A-6B20925AAF6C}" xr6:coauthVersionLast="47" xr6:coauthVersionMax="47" xr10:uidLastSave="{00000000-0000-0000-0000-000000000000}"/>
  <bookViews>
    <workbookView xWindow="28680" yWindow="945" windowWidth="29040" windowHeight="15720" xr2:uid="{00000000-000D-0000-FFFF-FFFF00000000}"/>
  </bookViews>
  <sheets>
    <sheet name="Producción" sheetId="1" r:id="rId1"/>
    <sheet name="Pruebas" sheetId="2" r:id="rId2"/>
    <sheet name="Etiquetas" sheetId="4" r:id="rId3"/>
    <sheet name="Catálogo PCB" sheetId="6" r:id="rId4"/>
  </sheets>
  <definedNames>
    <definedName name="FirmwareList">Producción!$O$2:$O$52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B3" i="1"/>
  <c r="B4" i="1"/>
  <c r="B5" i="1"/>
  <c r="B6" i="1"/>
  <c r="B7" i="1"/>
  <c r="B8" i="1"/>
  <c r="C8" i="1" s="1"/>
  <c r="D23" i="4" s="1"/>
  <c r="B9" i="1"/>
  <c r="C9" i="1" s="1"/>
  <c r="D24" i="4" s="1"/>
  <c r="B10" i="1"/>
  <c r="B11" i="1"/>
  <c r="B12" i="1"/>
  <c r="B13" i="1"/>
  <c r="B14" i="1"/>
  <c r="B15" i="1"/>
  <c r="B16" i="1"/>
  <c r="C16" i="1" s="1"/>
  <c r="D31" i="4" s="1"/>
  <c r="B17" i="1"/>
  <c r="C17" i="1" s="1"/>
  <c r="D32" i="4" s="1"/>
  <c r="B18" i="1"/>
  <c r="B19" i="1"/>
  <c r="B20" i="1"/>
  <c r="B21" i="1"/>
  <c r="B22" i="1"/>
  <c r="B23" i="1"/>
  <c r="B24" i="1"/>
  <c r="B25" i="1"/>
  <c r="C25" i="1" s="1"/>
  <c r="D40" i="4" s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C40" i="1" s="1"/>
  <c r="D55" i="4" s="1"/>
  <c r="B41" i="1"/>
  <c r="C41" i="1" s="1"/>
  <c r="D56" i="4" s="1"/>
  <c r="B42" i="1"/>
  <c r="B43" i="1"/>
  <c r="B44" i="1"/>
  <c r="B45" i="1"/>
  <c r="B46" i="1"/>
  <c r="B47" i="1"/>
  <c r="B48" i="1"/>
  <c r="C48" i="1" s="1"/>
  <c r="D63" i="4" s="1"/>
  <c r="B49" i="1"/>
  <c r="C49" i="1" s="1"/>
  <c r="D64" i="4" s="1"/>
  <c r="B50" i="1"/>
  <c r="B51" i="1"/>
  <c r="B52" i="1"/>
  <c r="B53" i="1"/>
  <c r="B54" i="1"/>
  <c r="B55" i="1"/>
  <c r="B56" i="1"/>
  <c r="C56" i="1" s="1"/>
  <c r="D71" i="4" s="1"/>
  <c r="B57" i="1"/>
  <c r="B58" i="1"/>
  <c r="B59" i="1"/>
  <c r="B60" i="1"/>
  <c r="C75" i="4" s="1"/>
  <c r="K75" i="4" s="1"/>
  <c r="B61" i="1"/>
  <c r="B62" i="1"/>
  <c r="B63" i="1"/>
  <c r="B64" i="1"/>
  <c r="C64" i="1" s="1"/>
  <c r="D79" i="4" s="1"/>
  <c r="B65" i="1"/>
  <c r="B66" i="1"/>
  <c r="B67" i="1"/>
  <c r="B68" i="1"/>
  <c r="C83" i="4" s="1"/>
  <c r="K83" i="4" s="1"/>
  <c r="B69" i="1"/>
  <c r="C84" i="4" s="1"/>
  <c r="K84" i="4" s="1"/>
  <c r="B70" i="1"/>
  <c r="B71" i="1"/>
  <c r="B72" i="1"/>
  <c r="I76" i="6" s="1"/>
  <c r="B73" i="1"/>
  <c r="C73" i="1" s="1"/>
  <c r="D88" i="4" s="1"/>
  <c r="B74" i="1"/>
  <c r="I81" i="6" s="1"/>
  <c r="B75" i="1"/>
  <c r="B76" i="1"/>
  <c r="B77" i="1"/>
  <c r="C92" i="4" s="1"/>
  <c r="K92" i="4" s="1"/>
  <c r="B78" i="1"/>
  <c r="C78" i="1" s="1"/>
  <c r="D93" i="4" s="1"/>
  <c r="B79" i="1"/>
  <c r="C79" i="1" s="1"/>
  <c r="D94" i="4" s="1"/>
  <c r="B80" i="1"/>
  <c r="C80" i="1" s="1"/>
  <c r="D95" i="4" s="1"/>
  <c r="B81" i="1"/>
  <c r="B82" i="1"/>
  <c r="B83" i="1"/>
  <c r="B84" i="1"/>
  <c r="B85" i="1"/>
  <c r="C100" i="4" s="1"/>
  <c r="K100" i="4" s="1"/>
  <c r="B86" i="1"/>
  <c r="B87" i="1"/>
  <c r="C87" i="1" s="1"/>
  <c r="D102" i="4" s="1"/>
  <c r="B88" i="1"/>
  <c r="C88" i="1" s="1"/>
  <c r="D103" i="4" s="1"/>
  <c r="B89" i="1"/>
  <c r="C89" i="1" s="1"/>
  <c r="D104" i="4" s="1"/>
  <c r="B90" i="1"/>
  <c r="B91" i="1"/>
  <c r="B92" i="1"/>
  <c r="B93" i="1"/>
  <c r="C108" i="4" s="1"/>
  <c r="K108" i="4" s="1"/>
  <c r="B94" i="1"/>
  <c r="C94" i="1" s="1"/>
  <c r="D109" i="4" s="1"/>
  <c r="B95" i="1"/>
  <c r="B96" i="1"/>
  <c r="B97" i="1"/>
  <c r="B98" i="1"/>
  <c r="I97" i="6" s="1"/>
  <c r="B99" i="1"/>
  <c r="C114" i="4" s="1"/>
  <c r="K114" i="4" s="1"/>
  <c r="B100" i="1"/>
  <c r="B101" i="1"/>
  <c r="C116" i="4" s="1"/>
  <c r="K116" i="4" s="1"/>
  <c r="B2" i="1"/>
  <c r="C106" i="4"/>
  <c r="K106" i="4" s="1"/>
  <c r="C96" i="1"/>
  <c r="D111" i="4" s="1"/>
  <c r="C97" i="1"/>
  <c r="D112" i="4" s="1"/>
  <c r="C95" i="1"/>
  <c r="D110" i="4" s="1"/>
  <c r="C107" i="4"/>
  <c r="K107" i="4" s="1"/>
  <c r="C101" i="4"/>
  <c r="K101" i="4" s="1"/>
  <c r="C99" i="4"/>
  <c r="K99" i="4" s="1"/>
  <c r="C98" i="4"/>
  <c r="K98" i="4" s="1"/>
  <c r="C81" i="1"/>
  <c r="D96" i="4" s="1"/>
  <c r="C91" i="4"/>
  <c r="K91" i="4" s="1"/>
  <c r="C71" i="1"/>
  <c r="D86" i="4" s="1"/>
  <c r="C85" i="4"/>
  <c r="K85" i="4" s="1"/>
  <c r="C82" i="4"/>
  <c r="K82" i="4" s="1"/>
  <c r="C65" i="1"/>
  <c r="D80" i="4" s="1"/>
  <c r="C63" i="1"/>
  <c r="D78" i="4" s="1"/>
  <c r="C62" i="1"/>
  <c r="D77" i="4" s="1"/>
  <c r="C76" i="4"/>
  <c r="K76" i="4" s="1"/>
  <c r="C74" i="4"/>
  <c r="K74" i="4" s="1"/>
  <c r="C57" i="1"/>
  <c r="D72" i="4" s="1"/>
  <c r="C55" i="1"/>
  <c r="D70" i="4" s="1"/>
  <c r="C69" i="4"/>
  <c r="K69" i="4" s="1"/>
  <c r="C67" i="4"/>
  <c r="K67" i="4" s="1"/>
  <c r="C66" i="4"/>
  <c r="K66" i="4" s="1"/>
  <c r="C47" i="1"/>
  <c r="D62" i="4" s="1"/>
  <c r="C46" i="1"/>
  <c r="D61" i="4" s="1"/>
  <c r="C60" i="4"/>
  <c r="K60" i="4" s="1"/>
  <c r="C59" i="4"/>
  <c r="K59" i="4" s="1"/>
  <c r="C58" i="4"/>
  <c r="K58" i="4" s="1"/>
  <c r="C39" i="1"/>
  <c r="D54" i="4" s="1"/>
  <c r="C53" i="4"/>
  <c r="K53" i="4" s="1"/>
  <c r="C33" i="1"/>
  <c r="D48" i="4" s="1"/>
  <c r="C32" i="1"/>
  <c r="D47" i="4" s="1"/>
  <c r="C31" i="1"/>
  <c r="D46" i="4" s="1"/>
  <c r="C30" i="1"/>
  <c r="D45" i="4" s="1"/>
  <c r="C44" i="4"/>
  <c r="K44" i="4" s="1"/>
  <c r="C43" i="4"/>
  <c r="K43" i="4" s="1"/>
  <c r="C42" i="4"/>
  <c r="K42" i="4" s="1"/>
  <c r="C24" i="1"/>
  <c r="D39" i="4" s="1"/>
  <c r="C23" i="1"/>
  <c r="D38" i="4" s="1"/>
  <c r="C37" i="4"/>
  <c r="K37" i="4" s="1"/>
  <c r="C36" i="4"/>
  <c r="K36" i="4" s="1"/>
  <c r="C35" i="4"/>
  <c r="K35" i="4" s="1"/>
  <c r="C34" i="4"/>
  <c r="K34" i="4" s="1"/>
  <c r="C15" i="1"/>
  <c r="D30" i="4" s="1"/>
  <c r="C14" i="1"/>
  <c r="D29" i="4" s="1"/>
  <c r="C27" i="4"/>
  <c r="K27" i="4" s="1"/>
  <c r="C26" i="4"/>
  <c r="K26" i="4" s="1"/>
  <c r="C7" i="1"/>
  <c r="D22" i="4" s="1"/>
  <c r="C21" i="4"/>
  <c r="K21" i="4" s="1"/>
  <c r="C20" i="4"/>
  <c r="K20" i="4" s="1"/>
  <c r="C19" i="4"/>
  <c r="K19" i="4" s="1"/>
  <c r="C3" i="1"/>
  <c r="D18" i="4" s="1"/>
  <c r="C2" i="1"/>
  <c r="F2" i="1"/>
  <c r="F17" i="4" s="1"/>
  <c r="F101" i="1"/>
  <c r="F116" i="4" s="1"/>
  <c r="F100" i="1"/>
  <c r="F115" i="4" s="1"/>
  <c r="F99" i="1"/>
  <c r="F114" i="4" s="1"/>
  <c r="F98" i="1"/>
  <c r="F113" i="4" s="1"/>
  <c r="F97" i="1"/>
  <c r="F112" i="4" s="1"/>
  <c r="F96" i="1"/>
  <c r="F111" i="4" s="1"/>
  <c r="F95" i="1"/>
  <c r="F110" i="4" s="1"/>
  <c r="F94" i="1"/>
  <c r="F109" i="4" s="1"/>
  <c r="F93" i="1"/>
  <c r="F108" i="4" s="1"/>
  <c r="F92" i="1"/>
  <c r="F107" i="4" s="1"/>
  <c r="F91" i="1"/>
  <c r="F106" i="4" s="1"/>
  <c r="F90" i="1"/>
  <c r="F105" i="4" s="1"/>
  <c r="F89" i="1"/>
  <c r="F104" i="4" s="1"/>
  <c r="F88" i="1"/>
  <c r="F103" i="4" s="1"/>
  <c r="F87" i="1"/>
  <c r="F102" i="4" s="1"/>
  <c r="F86" i="1"/>
  <c r="F101" i="4" s="1"/>
  <c r="F85" i="1"/>
  <c r="F100" i="4" s="1"/>
  <c r="F84" i="1"/>
  <c r="F99" i="4" s="1"/>
  <c r="F83" i="1"/>
  <c r="F98" i="4" s="1"/>
  <c r="F82" i="1"/>
  <c r="F97" i="4" s="1"/>
  <c r="F81" i="1"/>
  <c r="F96" i="4" s="1"/>
  <c r="F80" i="1"/>
  <c r="F95" i="4" s="1"/>
  <c r="F79" i="1"/>
  <c r="F94" i="4" s="1"/>
  <c r="F78" i="1"/>
  <c r="F93" i="4" s="1"/>
  <c r="F77" i="1"/>
  <c r="F92" i="4" s="1"/>
  <c r="F76" i="1"/>
  <c r="F91" i="4" s="1"/>
  <c r="F75" i="1"/>
  <c r="F90" i="4" s="1"/>
  <c r="F74" i="1"/>
  <c r="F89" i="4" s="1"/>
  <c r="F73" i="1"/>
  <c r="F88" i="4" s="1"/>
  <c r="F72" i="1"/>
  <c r="F87" i="4" s="1"/>
  <c r="F71" i="1"/>
  <c r="F86" i="4" s="1"/>
  <c r="F70" i="1"/>
  <c r="F85" i="4" s="1"/>
  <c r="F69" i="1"/>
  <c r="F84" i="4" s="1"/>
  <c r="F68" i="1"/>
  <c r="F83" i="4" s="1"/>
  <c r="F67" i="1"/>
  <c r="F82" i="4" s="1"/>
  <c r="F66" i="1"/>
  <c r="F81" i="4" s="1"/>
  <c r="F65" i="1"/>
  <c r="F80" i="4" s="1"/>
  <c r="F64" i="1"/>
  <c r="F79" i="4" s="1"/>
  <c r="F63" i="1"/>
  <c r="F78" i="4" s="1"/>
  <c r="F62" i="1"/>
  <c r="F77" i="4" s="1"/>
  <c r="F61" i="1"/>
  <c r="F76" i="4" s="1"/>
  <c r="F60" i="1"/>
  <c r="F75" i="4" s="1"/>
  <c r="F59" i="1"/>
  <c r="F74" i="4" s="1"/>
  <c r="F58" i="1"/>
  <c r="F73" i="4" s="1"/>
  <c r="F57" i="1"/>
  <c r="F72" i="4" s="1"/>
  <c r="F56" i="1"/>
  <c r="F71" i="4" s="1"/>
  <c r="F55" i="1"/>
  <c r="F70" i="4" s="1"/>
  <c r="F54" i="1"/>
  <c r="F69" i="4" s="1"/>
  <c r="F53" i="1"/>
  <c r="F68" i="4" s="1"/>
  <c r="F52" i="1"/>
  <c r="F67" i="4" s="1"/>
  <c r="F51" i="1"/>
  <c r="F66" i="4" s="1"/>
  <c r="F50" i="1"/>
  <c r="F65" i="4" s="1"/>
  <c r="F49" i="1"/>
  <c r="F64" i="4" s="1"/>
  <c r="F48" i="1"/>
  <c r="F63" i="4" s="1"/>
  <c r="F47" i="1"/>
  <c r="F62" i="4" s="1"/>
  <c r="F46" i="1"/>
  <c r="F61" i="4" s="1"/>
  <c r="F45" i="1"/>
  <c r="F60" i="4" s="1"/>
  <c r="F44" i="1"/>
  <c r="F59" i="4" s="1"/>
  <c r="F43" i="1"/>
  <c r="F58" i="4" s="1"/>
  <c r="F42" i="1"/>
  <c r="F57" i="4" s="1"/>
  <c r="F41" i="1"/>
  <c r="F56" i="4" s="1"/>
  <c r="F40" i="1"/>
  <c r="F55" i="4" s="1"/>
  <c r="F39" i="1"/>
  <c r="F54" i="4" s="1"/>
  <c r="F38" i="1"/>
  <c r="F53" i="4" s="1"/>
  <c r="F37" i="1"/>
  <c r="F52" i="4" s="1"/>
  <c r="F36" i="1"/>
  <c r="F51" i="4" s="1"/>
  <c r="F35" i="1"/>
  <c r="F50" i="4" s="1"/>
  <c r="F34" i="1"/>
  <c r="F49" i="4" s="1"/>
  <c r="F33" i="1"/>
  <c r="F48" i="4" s="1"/>
  <c r="F32" i="1"/>
  <c r="F47" i="4" s="1"/>
  <c r="F31" i="1"/>
  <c r="F46" i="4" s="1"/>
  <c r="F30" i="1"/>
  <c r="F45" i="4" s="1"/>
  <c r="F29" i="1"/>
  <c r="F44" i="4" s="1"/>
  <c r="F28" i="1"/>
  <c r="F43" i="4" s="1"/>
  <c r="F27" i="1"/>
  <c r="F42" i="4" s="1"/>
  <c r="F26" i="1"/>
  <c r="F41" i="4" s="1"/>
  <c r="F25" i="1"/>
  <c r="F40" i="4" s="1"/>
  <c r="F24" i="1"/>
  <c r="F39" i="4" s="1"/>
  <c r="F23" i="1"/>
  <c r="F38" i="4" s="1"/>
  <c r="F22" i="1"/>
  <c r="F37" i="4" s="1"/>
  <c r="F21" i="1"/>
  <c r="F36" i="4" s="1"/>
  <c r="F20" i="1"/>
  <c r="F35" i="4" s="1"/>
  <c r="F19" i="1"/>
  <c r="F34" i="4" s="1"/>
  <c r="F18" i="1"/>
  <c r="F33" i="4" s="1"/>
  <c r="F17" i="1"/>
  <c r="F32" i="4" s="1"/>
  <c r="F16" i="1"/>
  <c r="F31" i="4" s="1"/>
  <c r="F15" i="1"/>
  <c r="F30" i="4" s="1"/>
  <c r="F14" i="1"/>
  <c r="F29" i="4" s="1"/>
  <c r="F13" i="1"/>
  <c r="F28" i="4" s="1"/>
  <c r="F12" i="1"/>
  <c r="F27" i="4" s="1"/>
  <c r="F11" i="1"/>
  <c r="F26" i="4" s="1"/>
  <c r="F10" i="1"/>
  <c r="F25" i="4" s="1"/>
  <c r="F9" i="1"/>
  <c r="F24" i="4" s="1"/>
  <c r="F8" i="1"/>
  <c r="F23" i="4" s="1"/>
  <c r="F7" i="1"/>
  <c r="F22" i="4" s="1"/>
  <c r="F6" i="1"/>
  <c r="F21" i="4" s="1"/>
  <c r="F5" i="1"/>
  <c r="F20" i="4" s="1"/>
  <c r="F4" i="1"/>
  <c r="F19" i="4" s="1"/>
  <c r="F3" i="1"/>
  <c r="F18" i="4" s="1"/>
  <c r="I102" i="6"/>
  <c r="I101" i="6"/>
  <c r="I100" i="6"/>
  <c r="I99" i="6"/>
  <c r="I98" i="6"/>
  <c r="I96" i="6"/>
  <c r="I95" i="6"/>
  <c r="I94" i="6"/>
  <c r="I93" i="6"/>
  <c r="I92" i="6"/>
  <c r="I91" i="6"/>
  <c r="I89" i="6"/>
  <c r="I88" i="6"/>
  <c r="I87" i="6"/>
  <c r="I86" i="6"/>
  <c r="I85" i="6"/>
  <c r="I84" i="6"/>
  <c r="I83" i="6"/>
  <c r="I82" i="6"/>
  <c r="I80" i="6"/>
  <c r="I79" i="6"/>
  <c r="I78" i="6"/>
  <c r="I77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3" i="6"/>
  <c r="C115" i="4"/>
  <c r="K115" i="4" s="1"/>
  <c r="C113" i="4"/>
  <c r="K113" i="4" s="1"/>
  <c r="C105" i="4"/>
  <c r="K105" i="4" s="1"/>
  <c r="C97" i="4"/>
  <c r="K97" i="4" s="1"/>
  <c r="C90" i="4"/>
  <c r="K90" i="4" s="1"/>
  <c r="C89" i="4"/>
  <c r="K89" i="4" s="1"/>
  <c r="C81" i="4"/>
  <c r="K81" i="4" s="1"/>
  <c r="C73" i="4"/>
  <c r="K73" i="4" s="1"/>
  <c r="C68" i="4"/>
  <c r="K68" i="4" s="1"/>
  <c r="C65" i="4"/>
  <c r="K65" i="4" s="1"/>
  <c r="C57" i="4"/>
  <c r="K57" i="4" s="1"/>
  <c r="C52" i="4"/>
  <c r="K52" i="4" s="1"/>
  <c r="C51" i="4"/>
  <c r="K51" i="4" s="1"/>
  <c r="C50" i="4"/>
  <c r="K50" i="4" s="1"/>
  <c r="C49" i="4"/>
  <c r="K49" i="4" s="1"/>
  <c r="C41" i="4"/>
  <c r="K41" i="4" s="1"/>
  <c r="C33" i="4"/>
  <c r="K33" i="4" s="1"/>
  <c r="C28" i="4"/>
  <c r="K28" i="4" s="1"/>
  <c r="C10" i="1"/>
  <c r="D25" i="4" s="1"/>
  <c r="G116" i="4"/>
  <c r="E116" i="4"/>
  <c r="L116" i="4" s="1"/>
  <c r="B116" i="4"/>
  <c r="G115" i="4"/>
  <c r="E115" i="4"/>
  <c r="L115" i="4" s="1"/>
  <c r="B115" i="4"/>
  <c r="G114" i="4"/>
  <c r="E114" i="4"/>
  <c r="L114" i="4" s="1"/>
  <c r="B114" i="4"/>
  <c r="G113" i="4"/>
  <c r="E113" i="4"/>
  <c r="L113" i="4" s="1"/>
  <c r="B113" i="4"/>
  <c r="G112" i="4"/>
  <c r="E112" i="4"/>
  <c r="L112" i="4" s="1"/>
  <c r="B112" i="4"/>
  <c r="G111" i="4"/>
  <c r="E111" i="4"/>
  <c r="L111" i="4" s="1"/>
  <c r="B111" i="4"/>
  <c r="G110" i="4"/>
  <c r="E110" i="4"/>
  <c r="L110" i="4" s="1"/>
  <c r="B110" i="4"/>
  <c r="G109" i="4"/>
  <c r="E109" i="4"/>
  <c r="L109" i="4" s="1"/>
  <c r="B109" i="4"/>
  <c r="G108" i="4"/>
  <c r="E108" i="4"/>
  <c r="L108" i="4" s="1"/>
  <c r="B108" i="4"/>
  <c r="G107" i="4"/>
  <c r="E107" i="4"/>
  <c r="L107" i="4" s="1"/>
  <c r="B107" i="4"/>
  <c r="G106" i="4"/>
  <c r="E106" i="4"/>
  <c r="L106" i="4" s="1"/>
  <c r="B106" i="4"/>
  <c r="G105" i="4"/>
  <c r="E105" i="4"/>
  <c r="L105" i="4" s="1"/>
  <c r="B105" i="4"/>
  <c r="G104" i="4"/>
  <c r="E104" i="4"/>
  <c r="L104" i="4" s="1"/>
  <c r="B104" i="4"/>
  <c r="G103" i="4"/>
  <c r="E103" i="4"/>
  <c r="L103" i="4" s="1"/>
  <c r="B103" i="4"/>
  <c r="G102" i="4"/>
  <c r="E102" i="4"/>
  <c r="L102" i="4" s="1"/>
  <c r="B102" i="4"/>
  <c r="G101" i="4"/>
  <c r="E101" i="4"/>
  <c r="L101" i="4" s="1"/>
  <c r="B101" i="4"/>
  <c r="G100" i="4"/>
  <c r="E100" i="4"/>
  <c r="L100" i="4" s="1"/>
  <c r="B100" i="4"/>
  <c r="G99" i="4"/>
  <c r="E99" i="4"/>
  <c r="L99" i="4" s="1"/>
  <c r="B99" i="4"/>
  <c r="G98" i="4"/>
  <c r="E98" i="4"/>
  <c r="L98" i="4" s="1"/>
  <c r="B98" i="4"/>
  <c r="G97" i="4"/>
  <c r="E97" i="4"/>
  <c r="L97" i="4" s="1"/>
  <c r="B97" i="4"/>
  <c r="G96" i="4"/>
  <c r="E96" i="4"/>
  <c r="L96" i="4" s="1"/>
  <c r="B96" i="4"/>
  <c r="G95" i="4"/>
  <c r="E95" i="4"/>
  <c r="L95" i="4" s="1"/>
  <c r="B95" i="4"/>
  <c r="G94" i="4"/>
  <c r="E94" i="4"/>
  <c r="L94" i="4" s="1"/>
  <c r="B94" i="4"/>
  <c r="G93" i="4"/>
  <c r="E93" i="4"/>
  <c r="L93" i="4" s="1"/>
  <c r="B93" i="4"/>
  <c r="G92" i="4"/>
  <c r="E92" i="4"/>
  <c r="L92" i="4" s="1"/>
  <c r="B92" i="4"/>
  <c r="G91" i="4"/>
  <c r="E91" i="4"/>
  <c r="L91" i="4" s="1"/>
  <c r="B91" i="4"/>
  <c r="G90" i="4"/>
  <c r="E90" i="4"/>
  <c r="L90" i="4" s="1"/>
  <c r="B90" i="4"/>
  <c r="G89" i="4"/>
  <c r="E89" i="4"/>
  <c r="L89" i="4" s="1"/>
  <c r="B89" i="4"/>
  <c r="G88" i="4"/>
  <c r="E88" i="4"/>
  <c r="L88" i="4" s="1"/>
  <c r="B88" i="4"/>
  <c r="G87" i="4"/>
  <c r="E87" i="4"/>
  <c r="L87" i="4" s="1"/>
  <c r="B87" i="4"/>
  <c r="G86" i="4"/>
  <c r="E86" i="4"/>
  <c r="L86" i="4" s="1"/>
  <c r="B86" i="4"/>
  <c r="G85" i="4"/>
  <c r="E85" i="4"/>
  <c r="L85" i="4" s="1"/>
  <c r="B85" i="4"/>
  <c r="G84" i="4"/>
  <c r="E84" i="4"/>
  <c r="L84" i="4" s="1"/>
  <c r="B84" i="4"/>
  <c r="G83" i="4"/>
  <c r="E83" i="4"/>
  <c r="L83" i="4" s="1"/>
  <c r="B83" i="4"/>
  <c r="G82" i="4"/>
  <c r="E82" i="4"/>
  <c r="L82" i="4" s="1"/>
  <c r="B82" i="4"/>
  <c r="G81" i="4"/>
  <c r="E81" i="4"/>
  <c r="L81" i="4" s="1"/>
  <c r="B81" i="4"/>
  <c r="G80" i="4"/>
  <c r="E80" i="4"/>
  <c r="L80" i="4" s="1"/>
  <c r="B80" i="4"/>
  <c r="G79" i="4"/>
  <c r="E79" i="4"/>
  <c r="L79" i="4" s="1"/>
  <c r="B79" i="4"/>
  <c r="G78" i="4"/>
  <c r="E78" i="4"/>
  <c r="L78" i="4" s="1"/>
  <c r="B78" i="4"/>
  <c r="G77" i="4"/>
  <c r="E77" i="4"/>
  <c r="L77" i="4" s="1"/>
  <c r="B77" i="4"/>
  <c r="G76" i="4"/>
  <c r="E76" i="4"/>
  <c r="L76" i="4" s="1"/>
  <c r="B76" i="4"/>
  <c r="G75" i="4"/>
  <c r="E75" i="4"/>
  <c r="L75" i="4" s="1"/>
  <c r="B75" i="4"/>
  <c r="G74" i="4"/>
  <c r="E74" i="4"/>
  <c r="L74" i="4" s="1"/>
  <c r="B74" i="4"/>
  <c r="G73" i="4"/>
  <c r="E73" i="4"/>
  <c r="L73" i="4" s="1"/>
  <c r="B73" i="4"/>
  <c r="G72" i="4"/>
  <c r="E72" i="4"/>
  <c r="L72" i="4" s="1"/>
  <c r="B72" i="4"/>
  <c r="G71" i="4"/>
  <c r="E71" i="4"/>
  <c r="L71" i="4" s="1"/>
  <c r="B71" i="4"/>
  <c r="G70" i="4"/>
  <c r="E70" i="4"/>
  <c r="L70" i="4" s="1"/>
  <c r="B70" i="4"/>
  <c r="G69" i="4"/>
  <c r="E69" i="4"/>
  <c r="L69" i="4" s="1"/>
  <c r="B69" i="4"/>
  <c r="G68" i="4"/>
  <c r="E68" i="4"/>
  <c r="L68" i="4" s="1"/>
  <c r="B68" i="4"/>
  <c r="G67" i="4"/>
  <c r="E67" i="4"/>
  <c r="L67" i="4" s="1"/>
  <c r="B67" i="4"/>
  <c r="G66" i="4"/>
  <c r="E66" i="4"/>
  <c r="L66" i="4" s="1"/>
  <c r="B66" i="4"/>
  <c r="G65" i="4"/>
  <c r="E65" i="4"/>
  <c r="L65" i="4" s="1"/>
  <c r="B65" i="4"/>
  <c r="G64" i="4"/>
  <c r="E64" i="4"/>
  <c r="L64" i="4" s="1"/>
  <c r="B64" i="4"/>
  <c r="G63" i="4"/>
  <c r="E63" i="4"/>
  <c r="L63" i="4" s="1"/>
  <c r="B63" i="4"/>
  <c r="G62" i="4"/>
  <c r="E62" i="4"/>
  <c r="L62" i="4" s="1"/>
  <c r="B62" i="4"/>
  <c r="G61" i="4"/>
  <c r="E61" i="4"/>
  <c r="L61" i="4" s="1"/>
  <c r="B61" i="4"/>
  <c r="G60" i="4"/>
  <c r="E60" i="4"/>
  <c r="L60" i="4" s="1"/>
  <c r="B60" i="4"/>
  <c r="G59" i="4"/>
  <c r="E59" i="4"/>
  <c r="L59" i="4" s="1"/>
  <c r="B59" i="4"/>
  <c r="G58" i="4"/>
  <c r="E58" i="4"/>
  <c r="L58" i="4" s="1"/>
  <c r="B58" i="4"/>
  <c r="G57" i="4"/>
  <c r="E57" i="4"/>
  <c r="L57" i="4" s="1"/>
  <c r="B57" i="4"/>
  <c r="G56" i="4"/>
  <c r="E56" i="4"/>
  <c r="L56" i="4" s="1"/>
  <c r="B56" i="4"/>
  <c r="G55" i="4"/>
  <c r="E55" i="4"/>
  <c r="L55" i="4" s="1"/>
  <c r="B55" i="4"/>
  <c r="G54" i="4"/>
  <c r="E54" i="4"/>
  <c r="L54" i="4" s="1"/>
  <c r="B54" i="4"/>
  <c r="G53" i="4"/>
  <c r="E53" i="4"/>
  <c r="L53" i="4" s="1"/>
  <c r="B53" i="4"/>
  <c r="G52" i="4"/>
  <c r="E52" i="4"/>
  <c r="L52" i="4" s="1"/>
  <c r="B52" i="4"/>
  <c r="G51" i="4"/>
  <c r="E51" i="4"/>
  <c r="L51" i="4" s="1"/>
  <c r="B51" i="4"/>
  <c r="G50" i="4"/>
  <c r="E50" i="4"/>
  <c r="L50" i="4" s="1"/>
  <c r="B50" i="4"/>
  <c r="G49" i="4"/>
  <c r="E49" i="4"/>
  <c r="L49" i="4" s="1"/>
  <c r="B49" i="4"/>
  <c r="G48" i="4"/>
  <c r="E48" i="4"/>
  <c r="L48" i="4" s="1"/>
  <c r="B48" i="4"/>
  <c r="G47" i="4"/>
  <c r="E47" i="4"/>
  <c r="L47" i="4" s="1"/>
  <c r="B47" i="4"/>
  <c r="G46" i="4"/>
  <c r="E46" i="4"/>
  <c r="L46" i="4" s="1"/>
  <c r="B46" i="4"/>
  <c r="G45" i="4"/>
  <c r="E45" i="4"/>
  <c r="L45" i="4" s="1"/>
  <c r="B45" i="4"/>
  <c r="G44" i="4"/>
  <c r="E44" i="4"/>
  <c r="L44" i="4" s="1"/>
  <c r="B44" i="4"/>
  <c r="G43" i="4"/>
  <c r="E43" i="4"/>
  <c r="L43" i="4" s="1"/>
  <c r="B43" i="4"/>
  <c r="G42" i="4"/>
  <c r="E42" i="4"/>
  <c r="L42" i="4" s="1"/>
  <c r="B42" i="4"/>
  <c r="G41" i="4"/>
  <c r="E41" i="4"/>
  <c r="L41" i="4" s="1"/>
  <c r="B41" i="4"/>
  <c r="G40" i="4"/>
  <c r="E40" i="4"/>
  <c r="L40" i="4" s="1"/>
  <c r="B40" i="4"/>
  <c r="G39" i="4"/>
  <c r="E39" i="4"/>
  <c r="L39" i="4" s="1"/>
  <c r="B39" i="4"/>
  <c r="G38" i="4"/>
  <c r="E38" i="4"/>
  <c r="L38" i="4" s="1"/>
  <c r="B38" i="4"/>
  <c r="G37" i="4"/>
  <c r="E37" i="4"/>
  <c r="L37" i="4" s="1"/>
  <c r="B37" i="4"/>
  <c r="G36" i="4"/>
  <c r="E36" i="4"/>
  <c r="L36" i="4" s="1"/>
  <c r="B36" i="4"/>
  <c r="G35" i="4"/>
  <c r="E35" i="4"/>
  <c r="L35" i="4" s="1"/>
  <c r="B35" i="4"/>
  <c r="G34" i="4"/>
  <c r="E34" i="4"/>
  <c r="L34" i="4" s="1"/>
  <c r="B34" i="4"/>
  <c r="G33" i="4"/>
  <c r="E33" i="4"/>
  <c r="L33" i="4" s="1"/>
  <c r="B33" i="4"/>
  <c r="G32" i="4"/>
  <c r="E32" i="4"/>
  <c r="L32" i="4" s="1"/>
  <c r="B32" i="4"/>
  <c r="G31" i="4"/>
  <c r="E31" i="4"/>
  <c r="L31" i="4" s="1"/>
  <c r="B31" i="4"/>
  <c r="G30" i="4"/>
  <c r="E30" i="4"/>
  <c r="L30" i="4" s="1"/>
  <c r="B30" i="4"/>
  <c r="G29" i="4"/>
  <c r="E29" i="4"/>
  <c r="L29" i="4" s="1"/>
  <c r="B29" i="4"/>
  <c r="G28" i="4"/>
  <c r="E28" i="4"/>
  <c r="L28" i="4" s="1"/>
  <c r="B28" i="4"/>
  <c r="G27" i="4"/>
  <c r="E27" i="4"/>
  <c r="L27" i="4" s="1"/>
  <c r="B27" i="4"/>
  <c r="G26" i="4"/>
  <c r="E26" i="4"/>
  <c r="L26" i="4" s="1"/>
  <c r="B26" i="4"/>
  <c r="G25" i="4"/>
  <c r="E25" i="4"/>
  <c r="L25" i="4" s="1"/>
  <c r="B25" i="4"/>
  <c r="G24" i="4"/>
  <c r="E24" i="4"/>
  <c r="L24" i="4" s="1"/>
  <c r="B24" i="4"/>
  <c r="G23" i="4"/>
  <c r="E23" i="4"/>
  <c r="L23" i="4" s="1"/>
  <c r="B23" i="4"/>
  <c r="G22" i="4"/>
  <c r="E22" i="4"/>
  <c r="L22" i="4" s="1"/>
  <c r="B22" i="4"/>
  <c r="G21" i="4"/>
  <c r="E21" i="4"/>
  <c r="L21" i="4" s="1"/>
  <c r="B21" i="4"/>
  <c r="G20" i="4"/>
  <c r="E20" i="4"/>
  <c r="L20" i="4" s="1"/>
  <c r="B20" i="4"/>
  <c r="G19" i="4"/>
  <c r="E19" i="4"/>
  <c r="L19" i="4" s="1"/>
  <c r="B19" i="4"/>
  <c r="G18" i="4"/>
  <c r="E18" i="4"/>
  <c r="L18" i="4" s="1"/>
  <c r="B18" i="4"/>
  <c r="G17" i="4"/>
  <c r="E17" i="4"/>
  <c r="L17" i="4" s="1"/>
  <c r="B17" i="4"/>
  <c r="G3" i="4"/>
  <c r="A101" i="2"/>
  <c r="F101" i="2" s="1" a="1"/>
  <c r="F101" i="2" s="1"/>
  <c r="A100" i="2"/>
  <c r="F100" i="2" s="1" a="1"/>
  <c r="F100" i="2" s="1"/>
  <c r="A99" i="2"/>
  <c r="A98" i="2"/>
  <c r="A97" i="2"/>
  <c r="F97" i="2" s="1" a="1"/>
  <c r="F97" i="2" s="1"/>
  <c r="A96" i="2"/>
  <c r="C96" i="2" s="1" a="1"/>
  <c r="C96" i="2" s="1"/>
  <c r="A95" i="2"/>
  <c r="B95" i="2" s="1" a="1"/>
  <c r="B95" i="2" s="1"/>
  <c r="A94" i="2"/>
  <c r="F94" i="2" s="1" a="1"/>
  <c r="F94" i="2" s="1"/>
  <c r="A93" i="2"/>
  <c r="E93" i="2" s="1" a="1"/>
  <c r="E93" i="2" s="1"/>
  <c r="A92" i="2"/>
  <c r="B92" i="2" s="1" a="1"/>
  <c r="B92" i="2" s="1"/>
  <c r="A91" i="2"/>
  <c r="A90" i="2"/>
  <c r="A89" i="2"/>
  <c r="C89" i="2" s="1" a="1"/>
  <c r="C89" i="2" s="1"/>
  <c r="A88" i="2"/>
  <c r="F88" i="2" s="1" a="1"/>
  <c r="F88" i="2" s="1"/>
  <c r="A87" i="2"/>
  <c r="F87" i="2" s="1" a="1"/>
  <c r="F87" i="2" s="1"/>
  <c r="A86" i="2"/>
  <c r="D86" i="2" s="1" a="1"/>
  <c r="D86" i="2" s="1"/>
  <c r="A85" i="2"/>
  <c r="F85" i="2" s="1" a="1"/>
  <c r="F85" i="2" s="1"/>
  <c r="A84" i="2"/>
  <c r="F84" i="2" s="1" a="1"/>
  <c r="F84" i="2" s="1"/>
  <c r="A83" i="2"/>
  <c r="A82" i="2"/>
  <c r="A81" i="2"/>
  <c r="F81" i="2" s="1" a="1"/>
  <c r="F81" i="2" s="1"/>
  <c r="A80" i="2"/>
  <c r="F80" i="2" s="1" a="1"/>
  <c r="F80" i="2" s="1"/>
  <c r="A79" i="2"/>
  <c r="C79" i="2" s="1" a="1"/>
  <c r="C79" i="2" s="1"/>
  <c r="A78" i="2"/>
  <c r="F78" i="2" s="1" a="1"/>
  <c r="F78" i="2" s="1"/>
  <c r="A77" i="2"/>
  <c r="E77" i="2" s="1" a="1"/>
  <c r="E77" i="2" s="1"/>
  <c r="A76" i="2"/>
  <c r="D76" i="2" s="1" a="1"/>
  <c r="D76" i="2" s="1"/>
  <c r="A75" i="2"/>
  <c r="A74" i="2"/>
  <c r="A73" i="2"/>
  <c r="E73" i="2" s="1" a="1"/>
  <c r="E73" i="2" s="1"/>
  <c r="A72" i="2"/>
  <c r="B72" i="2" s="1" a="1"/>
  <c r="B72" i="2" s="1"/>
  <c r="A71" i="2"/>
  <c r="F71" i="2" s="1" a="1"/>
  <c r="F71" i="2" s="1"/>
  <c r="A70" i="2"/>
  <c r="E70" i="2" s="1" a="1"/>
  <c r="E70" i="2" s="1"/>
  <c r="A69" i="2"/>
  <c r="D69" i="2" s="1" a="1"/>
  <c r="D69" i="2" s="1"/>
  <c r="A68" i="2"/>
  <c r="B68" i="2" s="1" a="1"/>
  <c r="B68" i="2" s="1"/>
  <c r="A67" i="2"/>
  <c r="A66" i="2"/>
  <c r="A65" i="2"/>
  <c r="F65" i="2" s="1" a="1"/>
  <c r="F65" i="2" s="1"/>
  <c r="A64" i="2"/>
  <c r="F64" i="2" s="1" a="1"/>
  <c r="F64" i="2" s="1"/>
  <c r="A63" i="2"/>
  <c r="E63" i="2" s="1" a="1"/>
  <c r="E63" i="2" s="1"/>
  <c r="A62" i="2"/>
  <c r="C62" i="2" s="1" a="1"/>
  <c r="C62" i="2" s="1"/>
  <c r="A61" i="2"/>
  <c r="F61" i="2" s="1" a="1"/>
  <c r="F61" i="2" s="1"/>
  <c r="A60" i="2"/>
  <c r="F60" i="2" s="1" a="1"/>
  <c r="F60" i="2" s="1"/>
  <c r="A59" i="2"/>
  <c r="A58" i="2"/>
  <c r="A57" i="2"/>
  <c r="F57" i="2" s="1" a="1"/>
  <c r="F57" i="2" s="1"/>
  <c r="A56" i="2"/>
  <c r="E56" i="2" s="1" a="1"/>
  <c r="E56" i="2" s="1"/>
  <c r="A55" i="2"/>
  <c r="C55" i="2" s="1" a="1"/>
  <c r="C55" i="2" s="1"/>
  <c r="A54" i="2"/>
  <c r="F54" i="2" s="1" a="1"/>
  <c r="F54" i="2" s="1"/>
  <c r="A53" i="2"/>
  <c r="E53" i="2" s="1" a="1"/>
  <c r="E53" i="2" s="1"/>
  <c r="A52" i="2"/>
  <c r="B52" i="2" s="1" a="1"/>
  <c r="B52" i="2" s="1"/>
  <c r="A51" i="2"/>
  <c r="A50" i="2"/>
  <c r="A49" i="2"/>
  <c r="D49" i="2" s="1" a="1"/>
  <c r="D49" i="2" s="1"/>
  <c r="A48" i="2"/>
  <c r="D48" i="2" s="1" a="1"/>
  <c r="D48" i="2" s="1"/>
  <c r="A47" i="2"/>
  <c r="B47" i="2" s="1" a="1"/>
  <c r="B47" i="2" s="1"/>
  <c r="A46" i="2"/>
  <c r="F46" i="2" s="1" a="1"/>
  <c r="F46" i="2" s="1"/>
  <c r="A45" i="2"/>
  <c r="E45" i="2" s="1" a="1"/>
  <c r="E45" i="2" s="1"/>
  <c r="A44" i="2"/>
  <c r="D44" i="2" s="1" a="1"/>
  <c r="D44" i="2" s="1"/>
  <c r="A43" i="2"/>
  <c r="A42" i="2"/>
  <c r="A41" i="2"/>
  <c r="F41" i="2" s="1" a="1"/>
  <c r="F41" i="2" s="1"/>
  <c r="A40" i="2"/>
  <c r="E40" i="2" s="1" a="1"/>
  <c r="E40" i="2" s="1"/>
  <c r="A39" i="2"/>
  <c r="C39" i="2" s="1" a="1"/>
  <c r="C39" i="2" s="1"/>
  <c r="A38" i="2"/>
  <c r="B38" i="2" s="1" a="1"/>
  <c r="B38" i="2" s="1"/>
  <c r="A37" i="2"/>
  <c r="F37" i="2" s="1" a="1"/>
  <c r="F37" i="2" s="1"/>
  <c r="A36" i="2"/>
  <c r="E36" i="2" s="1" a="1"/>
  <c r="E36" i="2" s="1"/>
  <c r="A35" i="2"/>
  <c r="A34" i="2"/>
  <c r="A33" i="2"/>
  <c r="B33" i="2" s="1" a="1"/>
  <c r="B33" i="2" s="1"/>
  <c r="A32" i="2"/>
  <c r="B32" i="2" s="1" a="1"/>
  <c r="B32" i="2" s="1"/>
  <c r="A31" i="2"/>
  <c r="B31" i="2" s="1" a="1"/>
  <c r="B31" i="2" s="1"/>
  <c r="A30" i="2"/>
  <c r="F30" i="2" s="1" a="1"/>
  <c r="F30" i="2" s="1"/>
  <c r="A29" i="2"/>
  <c r="F29" i="2" s="1" a="1"/>
  <c r="F29" i="2" s="1"/>
  <c r="A28" i="2"/>
  <c r="F28" i="2" s="1" a="1"/>
  <c r="F28" i="2" s="1"/>
  <c r="A27" i="2"/>
  <c r="A26" i="2"/>
  <c r="A25" i="2"/>
  <c r="E25" i="2" s="1" a="1"/>
  <c r="E25" i="2" s="1"/>
  <c r="A24" i="2"/>
  <c r="E24" i="2" s="1" a="1"/>
  <c r="E24" i="2" s="1"/>
  <c r="A23" i="2"/>
  <c r="D23" i="2" s="1" a="1"/>
  <c r="D23" i="2" s="1"/>
  <c r="A22" i="2"/>
  <c r="D22" i="2" s="1" a="1"/>
  <c r="D22" i="2" s="1"/>
  <c r="A21" i="2"/>
  <c r="D21" i="2" s="1" a="1"/>
  <c r="D21" i="2" s="1"/>
  <c r="A20" i="2"/>
  <c r="C20" i="2" s="1" a="1"/>
  <c r="C20" i="2" s="1"/>
  <c r="A19" i="2"/>
  <c r="D19" i="2" s="1" a="1"/>
  <c r="D19" i="2" s="1"/>
  <c r="A18" i="2"/>
  <c r="A17" i="2"/>
  <c r="B17" i="2" s="1" a="1"/>
  <c r="B17" i="2" s="1"/>
  <c r="A16" i="2"/>
  <c r="B16" i="2" s="1" a="1"/>
  <c r="B16" i="2" s="1"/>
  <c r="A15" i="2"/>
  <c r="B15" i="2" s="1" a="1"/>
  <c r="B15" i="2" s="1"/>
  <c r="A14" i="2"/>
  <c r="F14" i="2" s="1" a="1"/>
  <c r="F14" i="2" s="1"/>
  <c r="A13" i="2"/>
  <c r="F13" i="2" s="1" a="1"/>
  <c r="F13" i="2" s="1"/>
  <c r="A12" i="2"/>
  <c r="F12" i="2" s="1" a="1"/>
  <c r="F12" i="2" s="1"/>
  <c r="A11" i="2"/>
  <c r="A10" i="2"/>
  <c r="F10" i="2" s="1" a="1"/>
  <c r="F10" i="2" s="1"/>
  <c r="A9" i="2"/>
  <c r="E9" i="2" s="1" a="1"/>
  <c r="E9" i="2" s="1"/>
  <c r="A8" i="2"/>
  <c r="E8" i="2" s="1" a="1"/>
  <c r="E8" i="2" s="1"/>
  <c r="A7" i="2"/>
  <c r="D7" i="2" s="1" a="1"/>
  <c r="D7" i="2" s="1"/>
  <c r="A6" i="2"/>
  <c r="D6" i="2" s="1" a="1"/>
  <c r="D6" i="2" s="1"/>
  <c r="A5" i="2"/>
  <c r="D5" i="2" s="1" a="1"/>
  <c r="D5" i="2" s="1"/>
  <c r="A4" i="2"/>
  <c r="C4" i="2" s="1" a="1"/>
  <c r="C4" i="2" s="1"/>
  <c r="A3" i="2"/>
  <c r="D3" i="2" s="1" a="1"/>
  <c r="D3" i="2" s="1"/>
  <c r="A2" i="2"/>
  <c r="F2" i="2" s="1" a="1"/>
  <c r="F2" i="2" s="1"/>
  <c r="O3" i="6" l="1" a="1"/>
  <c r="O3" i="6" s="1"/>
  <c r="C72" i="1"/>
  <c r="D87" i="4" s="1"/>
  <c r="I90" i="6"/>
  <c r="F8" i="2" a="1"/>
  <c r="F8" i="2" s="1"/>
  <c r="B28" i="2" a="1"/>
  <c r="B28" i="2" s="1"/>
  <c r="D39" i="2" a="1"/>
  <c r="D39" i="2" s="1"/>
  <c r="D55" i="2" a="1"/>
  <c r="D55" i="2" s="1"/>
  <c r="F9" i="2" a="1"/>
  <c r="F9" i="2" s="1"/>
  <c r="B29" i="2" a="1"/>
  <c r="B29" i="2" s="1"/>
  <c r="F40" i="2" a="1"/>
  <c r="F40" i="2" s="1"/>
  <c r="B61" i="2" a="1"/>
  <c r="B61" i="2" s="1"/>
  <c r="E76" i="2" a="1"/>
  <c r="E76" i="2" s="1"/>
  <c r="C92" i="2" a="1"/>
  <c r="C92" i="2" s="1"/>
  <c r="D20" i="2" a="1"/>
  <c r="D20" i="2" s="1"/>
  <c r="B30" i="2" a="1"/>
  <c r="B30" i="2" s="1"/>
  <c r="E44" i="2" a="1"/>
  <c r="E44" i="2" s="1"/>
  <c r="D62" i="2" a="1"/>
  <c r="D62" i="2" s="1"/>
  <c r="F77" i="2" a="1"/>
  <c r="F77" i="2" s="1"/>
  <c r="F93" i="2" a="1"/>
  <c r="F93" i="2" s="1"/>
  <c r="B12" i="2" a="1"/>
  <c r="B12" i="2" s="1"/>
  <c r="E21" i="2" a="1"/>
  <c r="E21" i="2" s="1"/>
  <c r="C31" i="2" a="1"/>
  <c r="C31" i="2" s="1"/>
  <c r="F45" i="2" a="1"/>
  <c r="F45" i="2" s="1"/>
  <c r="F63" i="2" a="1"/>
  <c r="F63" i="2" s="1"/>
  <c r="D79" i="2" a="1"/>
  <c r="D79" i="2" s="1"/>
  <c r="D96" i="2" a="1"/>
  <c r="D96" i="2" s="1"/>
  <c r="F73" i="2" a="1"/>
  <c r="F73" i="2" s="1"/>
  <c r="D4" i="2" a="1"/>
  <c r="D4" i="2" s="1"/>
  <c r="B13" i="2" a="1"/>
  <c r="B13" i="2" s="1"/>
  <c r="E22" i="2" a="1"/>
  <c r="E22" i="2" s="1"/>
  <c r="C32" i="2" a="1"/>
  <c r="C32" i="2" s="1"/>
  <c r="C47" i="2" a="1"/>
  <c r="C47" i="2" s="1"/>
  <c r="B65" i="2" a="1"/>
  <c r="B65" i="2" s="1"/>
  <c r="B81" i="2" a="1"/>
  <c r="B81" i="2" s="1"/>
  <c r="B101" i="2" a="1"/>
  <c r="B101" i="2" s="1"/>
  <c r="D89" i="2" a="1"/>
  <c r="D89" i="2" s="1"/>
  <c r="E5" i="2" a="1"/>
  <c r="E5" i="2" s="1"/>
  <c r="B14" i="2" a="1"/>
  <c r="B14" i="2" s="1"/>
  <c r="E23" i="2" a="1"/>
  <c r="E23" i="2" s="1"/>
  <c r="G23" i="2" s="1"/>
  <c r="C33" i="2" a="1"/>
  <c r="C33" i="2" s="1"/>
  <c r="E49" i="2" a="1"/>
  <c r="E49" i="2" s="1"/>
  <c r="C68" i="2" a="1"/>
  <c r="C68" i="2" s="1"/>
  <c r="B85" i="2" a="1"/>
  <c r="B85" i="2" s="1"/>
  <c r="E6" i="2" a="1"/>
  <c r="E6" i="2" s="1"/>
  <c r="C15" i="2" a="1"/>
  <c r="C15" i="2" s="1"/>
  <c r="F24" i="2" a="1"/>
  <c r="F24" i="2" s="1"/>
  <c r="F36" i="2" a="1"/>
  <c r="F36" i="2" s="1"/>
  <c r="C52" i="2" a="1"/>
  <c r="C52" i="2" s="1"/>
  <c r="F70" i="2" a="1"/>
  <c r="F70" i="2" s="1"/>
  <c r="E86" i="2" a="1"/>
  <c r="E86" i="2" s="1"/>
  <c r="C17" i="2" a="1"/>
  <c r="C17" i="2" s="1"/>
  <c r="E7" i="2" a="1"/>
  <c r="E7" i="2" s="1"/>
  <c r="C16" i="2" a="1"/>
  <c r="C16" i="2" s="1"/>
  <c r="F25" i="2" a="1"/>
  <c r="F25" i="2" s="1"/>
  <c r="C38" i="2" a="1"/>
  <c r="C38" i="2" s="1"/>
  <c r="F53" i="2" a="1"/>
  <c r="F53" i="2" s="1"/>
  <c r="C72" i="2" a="1"/>
  <c r="C72" i="2" s="1"/>
  <c r="B88" i="2" a="1"/>
  <c r="B88" i="2" s="1"/>
  <c r="E10" i="2" a="1"/>
  <c r="E10" i="2" s="1"/>
  <c r="D10" i="2" a="1"/>
  <c r="D10" i="2" s="1"/>
  <c r="C10" i="2" a="1"/>
  <c r="C10" i="2" s="1"/>
  <c r="B10" i="2" a="1"/>
  <c r="B10" i="2" s="1"/>
  <c r="C18" i="2" a="1"/>
  <c r="C18" i="2" s="1"/>
  <c r="B18" i="2" a="1"/>
  <c r="B18" i="2" s="1"/>
  <c r="F18" i="2" a="1"/>
  <c r="F18" i="2" s="1"/>
  <c r="E18" i="2" a="1"/>
  <c r="E18" i="2" s="1"/>
  <c r="E26" i="2" a="1"/>
  <c r="E26" i="2" s="1"/>
  <c r="D26" i="2" a="1"/>
  <c r="D26" i="2" s="1"/>
  <c r="C26" i="2" a="1"/>
  <c r="C26" i="2" s="1"/>
  <c r="B26" i="2" a="1"/>
  <c r="B26" i="2" s="1"/>
  <c r="C34" i="2" a="1"/>
  <c r="C34" i="2" s="1"/>
  <c r="B34" i="2" a="1"/>
  <c r="B34" i="2" s="1"/>
  <c r="D34" i="2" a="1"/>
  <c r="D34" i="2" s="1"/>
  <c r="F34" i="2" a="1"/>
  <c r="F34" i="2" s="1"/>
  <c r="E34" i="2" a="1"/>
  <c r="E34" i="2" s="1"/>
  <c r="B42" i="2" a="1"/>
  <c r="B42" i="2" s="1"/>
  <c r="F42" i="2" a="1"/>
  <c r="F42" i="2" s="1"/>
  <c r="E42" i="2" a="1"/>
  <c r="E42" i="2" s="1"/>
  <c r="D42" i="2" a="1"/>
  <c r="D42" i="2" s="1"/>
  <c r="C42" i="2" a="1"/>
  <c r="C42" i="2" s="1"/>
  <c r="F50" i="2" a="1"/>
  <c r="F50" i="2" s="1"/>
  <c r="E50" i="2" a="1"/>
  <c r="E50" i="2" s="1"/>
  <c r="D50" i="2" a="1"/>
  <c r="D50" i="2" s="1"/>
  <c r="C50" i="2" a="1"/>
  <c r="C50" i="2" s="1"/>
  <c r="B50" i="2" a="1"/>
  <c r="B50" i="2" s="1"/>
  <c r="F58" i="2" a="1"/>
  <c r="F58" i="2" s="1"/>
  <c r="E58" i="2" a="1"/>
  <c r="E58" i="2" s="1"/>
  <c r="D58" i="2" a="1"/>
  <c r="D58" i="2" s="1"/>
  <c r="B58" i="2" a="1"/>
  <c r="B58" i="2" s="1"/>
  <c r="C58" i="2" a="1"/>
  <c r="C58" i="2" s="1"/>
  <c r="D66" i="2" a="1"/>
  <c r="D66" i="2" s="1"/>
  <c r="C66" i="2" a="1"/>
  <c r="C66" i="2" s="1"/>
  <c r="B66" i="2" a="1"/>
  <c r="B66" i="2" s="1"/>
  <c r="E66" i="2" a="1"/>
  <c r="E66" i="2" s="1"/>
  <c r="F66" i="2" a="1"/>
  <c r="F66" i="2" s="1"/>
  <c r="F74" i="2" a="1"/>
  <c r="F74" i="2" s="1"/>
  <c r="E74" i="2" a="1"/>
  <c r="E74" i="2" s="1"/>
  <c r="D74" i="2" a="1"/>
  <c r="D74" i="2" s="1"/>
  <c r="C74" i="2" a="1"/>
  <c r="C74" i="2" s="1"/>
  <c r="B74" i="2" a="1"/>
  <c r="B74" i="2" s="1"/>
  <c r="C82" i="2" a="1"/>
  <c r="C82" i="2" s="1"/>
  <c r="B82" i="2" a="1"/>
  <c r="B82" i="2" s="1"/>
  <c r="F82" i="2" a="1"/>
  <c r="F82" i="2" s="1"/>
  <c r="G82" i="2" s="1"/>
  <c r="E82" i="2" a="1"/>
  <c r="E82" i="2" s="1"/>
  <c r="D82" i="2" a="1"/>
  <c r="D82" i="2" s="1"/>
  <c r="D90" i="2" a="1"/>
  <c r="D90" i="2" s="1"/>
  <c r="C90" i="2" a="1"/>
  <c r="C90" i="2" s="1"/>
  <c r="B90" i="2" a="1"/>
  <c r="B90" i="2" s="1"/>
  <c r="E90" i="2" a="1"/>
  <c r="E90" i="2" s="1"/>
  <c r="F90" i="2" a="1"/>
  <c r="F90" i="2" s="1"/>
  <c r="F98" i="2" a="1"/>
  <c r="F98" i="2" s="1"/>
  <c r="B98" i="2" a="1"/>
  <c r="B98" i="2" s="1"/>
  <c r="E98" i="2" a="1"/>
  <c r="E98" i="2" s="1"/>
  <c r="D98" i="2" a="1"/>
  <c r="D98" i="2" s="1"/>
  <c r="C98" i="2" a="1"/>
  <c r="C98" i="2" s="1"/>
  <c r="C3" i="2" a="1"/>
  <c r="C3" i="2" s="1"/>
  <c r="B3" i="2" a="1"/>
  <c r="B3" i="2" s="1"/>
  <c r="F3" i="2" a="1"/>
  <c r="F3" i="2" s="1"/>
  <c r="E3" i="2" a="1"/>
  <c r="E3" i="2" s="1"/>
  <c r="F11" i="2" a="1"/>
  <c r="F11" i="2" s="1"/>
  <c r="E11" i="2" a="1"/>
  <c r="E11" i="2" s="1"/>
  <c r="D11" i="2" a="1"/>
  <c r="D11" i="2" s="1"/>
  <c r="C11" i="2" a="1"/>
  <c r="C11" i="2" s="1"/>
  <c r="B11" i="2" a="1"/>
  <c r="B11" i="2" s="1"/>
  <c r="C19" i="2" a="1"/>
  <c r="C19" i="2" s="1"/>
  <c r="B19" i="2" a="1"/>
  <c r="B19" i="2" s="1"/>
  <c r="F19" i="2" a="1"/>
  <c r="F19" i="2" s="1"/>
  <c r="E19" i="2" a="1"/>
  <c r="E19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E35" i="2" a="1"/>
  <c r="E35" i="2" s="1"/>
  <c r="D35" i="2" a="1"/>
  <c r="D35" i="2" s="1"/>
  <c r="C35" i="2" a="1"/>
  <c r="C35" i="2" s="1"/>
  <c r="B35" i="2" a="1"/>
  <c r="B35" i="2" s="1"/>
  <c r="F35" i="2" a="1"/>
  <c r="F35" i="2" s="1"/>
  <c r="B43" i="2" a="1"/>
  <c r="B43" i="2" s="1"/>
  <c r="C43" i="2" a="1"/>
  <c r="C43" i="2" s="1"/>
  <c r="F43" i="2" a="1"/>
  <c r="F43" i="2" s="1"/>
  <c r="E43" i="2" a="1"/>
  <c r="E43" i="2" s="1"/>
  <c r="D43" i="2" a="1"/>
  <c r="D43" i="2" s="1"/>
  <c r="F51" i="2" a="1"/>
  <c r="F51" i="2" s="1"/>
  <c r="E51" i="2" a="1"/>
  <c r="E51" i="2" s="1"/>
  <c r="D51" i="2" a="1"/>
  <c r="D51" i="2" s="1"/>
  <c r="B51" i="2" a="1"/>
  <c r="B51" i="2" s="1"/>
  <c r="C51" i="2" a="1"/>
  <c r="C51" i="2" s="1"/>
  <c r="C59" i="2" a="1"/>
  <c r="C59" i="2" s="1"/>
  <c r="B59" i="2" a="1"/>
  <c r="B59" i="2" s="1"/>
  <c r="F59" i="2" a="1"/>
  <c r="F59" i="2" s="1"/>
  <c r="G59" i="2" s="1"/>
  <c r="D59" i="2" a="1"/>
  <c r="D59" i="2" s="1"/>
  <c r="E59" i="2" a="1"/>
  <c r="E59" i="2" s="1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B75" i="2" a="1"/>
  <c r="B75" i="2" s="1"/>
  <c r="F75" i="2" a="1"/>
  <c r="F75" i="2" s="1"/>
  <c r="E75" i="2" a="1"/>
  <c r="E75" i="2" s="1"/>
  <c r="C75" i="2" a="1"/>
  <c r="C75" i="2" s="1"/>
  <c r="D75" i="2" a="1"/>
  <c r="D75" i="2" s="1"/>
  <c r="D83" i="2" a="1"/>
  <c r="D83" i="2" s="1"/>
  <c r="C83" i="2" a="1"/>
  <c r="C83" i="2" s="1"/>
  <c r="B83" i="2" a="1"/>
  <c r="B83" i="2" s="1"/>
  <c r="E83" i="2" a="1"/>
  <c r="E83" i="2" s="1"/>
  <c r="F83" i="2" a="1"/>
  <c r="F83" i="2" s="1"/>
  <c r="F91" i="2" a="1"/>
  <c r="F91" i="2" s="1"/>
  <c r="E91" i="2" a="1"/>
  <c r="E91" i="2" s="1"/>
  <c r="D91" i="2" a="1"/>
  <c r="D91" i="2" s="1"/>
  <c r="C91" i="2" a="1"/>
  <c r="C91" i="2" s="1"/>
  <c r="B91" i="2" a="1"/>
  <c r="B91" i="2" s="1"/>
  <c r="D99" i="2" a="1"/>
  <c r="D99" i="2" s="1"/>
  <c r="C99" i="2" a="1"/>
  <c r="C99" i="2" s="1"/>
  <c r="B99" i="2" a="1"/>
  <c r="B99" i="2" s="1"/>
  <c r="F99" i="2" a="1"/>
  <c r="F99" i="2" s="1"/>
  <c r="E99" i="2" a="1"/>
  <c r="E99" i="2" s="1"/>
  <c r="D18" i="2" a="1"/>
  <c r="D18" i="2" s="1"/>
  <c r="F26" i="2" a="1"/>
  <c r="F26" i="2" s="1"/>
  <c r="E4" i="2" a="1"/>
  <c r="E4" i="2" s="1"/>
  <c r="F7" i="2" a="1"/>
  <c r="F7" i="2" s="1"/>
  <c r="C14" i="2" a="1"/>
  <c r="C14" i="2" s="1"/>
  <c r="D17" i="2" a="1"/>
  <c r="D17" i="2" s="1"/>
  <c r="E20" i="2" a="1"/>
  <c r="E20" i="2" s="1"/>
  <c r="F23" i="2" a="1"/>
  <c r="F23" i="2" s="1"/>
  <c r="C30" i="2" a="1"/>
  <c r="C30" i="2" s="1"/>
  <c r="D33" i="2" a="1"/>
  <c r="D33" i="2" s="1"/>
  <c r="B37" i="2" a="1"/>
  <c r="B37" i="2" s="1"/>
  <c r="D38" i="2" a="1"/>
  <c r="D38" i="2" s="1"/>
  <c r="E39" i="2" a="1"/>
  <c r="E39" i="2" s="1"/>
  <c r="B41" i="2" a="1"/>
  <c r="B41" i="2" s="1"/>
  <c r="F44" i="2" a="1"/>
  <c r="F44" i="2" s="1"/>
  <c r="B46" i="2" a="1"/>
  <c r="B46" i="2" s="1"/>
  <c r="D47" i="2" a="1"/>
  <c r="D47" i="2" s="1"/>
  <c r="E48" i="2" a="1"/>
  <c r="E48" i="2" s="1"/>
  <c r="F49" i="2" a="1"/>
  <c r="F49" i="2" s="1"/>
  <c r="D52" i="2" a="1"/>
  <c r="D52" i="2" s="1"/>
  <c r="B54" i="2" a="1"/>
  <c r="B54" i="2" s="1"/>
  <c r="G54" i="2" s="1"/>
  <c r="E55" i="2" a="1"/>
  <c r="E55" i="2" s="1"/>
  <c r="F56" i="2" a="1"/>
  <c r="F56" i="2" s="1"/>
  <c r="C61" i="2" a="1"/>
  <c r="C61" i="2" s="1"/>
  <c r="E62" i="2" a="1"/>
  <c r="E62" i="2" s="1"/>
  <c r="C65" i="2" a="1"/>
  <c r="C65" i="2" s="1"/>
  <c r="D68" i="2" a="1"/>
  <c r="D68" i="2" s="1"/>
  <c r="E69" i="2" a="1"/>
  <c r="E69" i="2" s="1"/>
  <c r="B71" i="2" a="1"/>
  <c r="B71" i="2" s="1"/>
  <c r="G71" i="2" s="1"/>
  <c r="D72" i="2" a="1"/>
  <c r="D72" i="2" s="1"/>
  <c r="B78" i="2" a="1"/>
  <c r="B78" i="2" s="1"/>
  <c r="E79" i="2" a="1"/>
  <c r="E79" i="2" s="1"/>
  <c r="C81" i="2" a="1"/>
  <c r="C81" i="2" s="1"/>
  <c r="C85" i="2" a="1"/>
  <c r="C85" i="2" s="1"/>
  <c r="F86" i="2" a="1"/>
  <c r="F86" i="2" s="1"/>
  <c r="C88" i="2" a="1"/>
  <c r="C88" i="2" s="1"/>
  <c r="D92" i="2" a="1"/>
  <c r="D92" i="2" s="1"/>
  <c r="B94" i="2" a="1"/>
  <c r="B94" i="2" s="1"/>
  <c r="C95" i="2" a="1"/>
  <c r="C95" i="2" s="1"/>
  <c r="E96" i="2" a="1"/>
  <c r="E96" i="2" s="1"/>
  <c r="C101" i="2" a="1"/>
  <c r="C101" i="2" s="1"/>
  <c r="F4" i="2" a="1"/>
  <c r="F4" i="2" s="1"/>
  <c r="F5" i="2" a="1"/>
  <c r="F5" i="2" s="1"/>
  <c r="F6" i="2" a="1"/>
  <c r="F6" i="2" s="1"/>
  <c r="B8" i="2" a="1"/>
  <c r="B8" i="2" s="1"/>
  <c r="B9" i="2" a="1"/>
  <c r="B9" i="2" s="1"/>
  <c r="C12" i="2" a="1"/>
  <c r="C12" i="2" s="1"/>
  <c r="C13" i="2" a="1"/>
  <c r="C13" i="2" s="1"/>
  <c r="D14" i="2" a="1"/>
  <c r="D14" i="2" s="1"/>
  <c r="D15" i="2" a="1"/>
  <c r="D15" i="2" s="1"/>
  <c r="D16" i="2" a="1"/>
  <c r="D16" i="2" s="1"/>
  <c r="E17" i="2" a="1"/>
  <c r="E17" i="2" s="1"/>
  <c r="F20" i="2" a="1"/>
  <c r="F20" i="2" s="1"/>
  <c r="F21" i="2" a="1"/>
  <c r="F21" i="2" s="1"/>
  <c r="F22" i="2" a="1"/>
  <c r="F22" i="2" s="1"/>
  <c r="B24" i="2" a="1"/>
  <c r="B24" i="2" s="1"/>
  <c r="B25" i="2" a="1"/>
  <c r="B25" i="2" s="1"/>
  <c r="C28" i="2" a="1"/>
  <c r="C28" i="2" s="1"/>
  <c r="C29" i="2" a="1"/>
  <c r="C29" i="2" s="1"/>
  <c r="D30" i="2" a="1"/>
  <c r="D30" i="2" s="1"/>
  <c r="D31" i="2" a="1"/>
  <c r="D31" i="2" s="1"/>
  <c r="D32" i="2" a="1"/>
  <c r="D32" i="2" s="1"/>
  <c r="E33" i="2" a="1"/>
  <c r="E33" i="2" s="1"/>
  <c r="C37" i="2" a="1"/>
  <c r="C37" i="2" s="1"/>
  <c r="E38" i="2" a="1"/>
  <c r="E38" i="2" s="1"/>
  <c r="F39" i="2" a="1"/>
  <c r="F39" i="2" s="1"/>
  <c r="C41" i="2" a="1"/>
  <c r="C41" i="2" s="1"/>
  <c r="B45" i="2" a="1"/>
  <c r="B45" i="2" s="1"/>
  <c r="C46" i="2" a="1"/>
  <c r="C46" i="2" s="1"/>
  <c r="E47" i="2" a="1"/>
  <c r="E47" i="2" s="1"/>
  <c r="E52" i="2" a="1"/>
  <c r="E52" i="2" s="1"/>
  <c r="C54" i="2" a="1"/>
  <c r="C54" i="2" s="1"/>
  <c r="F55" i="2" a="1"/>
  <c r="F55" i="2" s="1"/>
  <c r="B57" i="2" a="1"/>
  <c r="B57" i="2" s="1"/>
  <c r="D61" i="2" a="1"/>
  <c r="D61" i="2" s="1"/>
  <c r="F62" i="2" a="1"/>
  <c r="F62" i="2" s="1"/>
  <c r="B64" i="2" a="1"/>
  <c r="B64" i="2" s="1"/>
  <c r="D65" i="2" a="1"/>
  <c r="D65" i="2" s="1"/>
  <c r="E68" i="2" a="1"/>
  <c r="E68" i="2" s="1"/>
  <c r="F69" i="2" a="1"/>
  <c r="F69" i="2" s="1"/>
  <c r="E72" i="2" a="1"/>
  <c r="E72" i="2" s="1"/>
  <c r="F76" i="2" a="1"/>
  <c r="F76" i="2" s="1"/>
  <c r="C78" i="2" a="1"/>
  <c r="C78" i="2" s="1"/>
  <c r="F79" i="2" a="1"/>
  <c r="F79" i="2" s="1"/>
  <c r="D81" i="2" a="1"/>
  <c r="D81" i="2" s="1"/>
  <c r="D85" i="2" a="1"/>
  <c r="D85" i="2" s="1"/>
  <c r="B87" i="2" a="1"/>
  <c r="B87" i="2" s="1"/>
  <c r="D88" i="2" a="1"/>
  <c r="D88" i="2" s="1"/>
  <c r="E89" i="2" a="1"/>
  <c r="E89" i="2" s="1"/>
  <c r="E92" i="2" a="1"/>
  <c r="E92" i="2" s="1"/>
  <c r="C94" i="2" a="1"/>
  <c r="C94" i="2" s="1"/>
  <c r="D95" i="2" a="1"/>
  <c r="D95" i="2" s="1"/>
  <c r="F96" i="2" a="1"/>
  <c r="F96" i="2" s="1"/>
  <c r="B100" i="2" a="1"/>
  <c r="B100" i="2" s="1"/>
  <c r="D101" i="2" a="1"/>
  <c r="D101" i="2" s="1"/>
  <c r="B7" i="2" a="1"/>
  <c r="B7" i="2" s="1"/>
  <c r="D13" i="2" a="1"/>
  <c r="D13" i="2" s="1"/>
  <c r="E16" i="2" a="1"/>
  <c r="E16" i="2" s="1"/>
  <c r="B23" i="2" a="1"/>
  <c r="B23" i="2" s="1"/>
  <c r="D29" i="2" a="1"/>
  <c r="D29" i="2" s="1"/>
  <c r="E32" i="2" a="1"/>
  <c r="E32" i="2" s="1"/>
  <c r="B36" i="2" a="1"/>
  <c r="B36" i="2" s="1"/>
  <c r="D37" i="2" a="1"/>
  <c r="D37" i="2" s="1"/>
  <c r="F38" i="2" a="1"/>
  <c r="F38" i="2" s="1"/>
  <c r="C45" i="2" a="1"/>
  <c r="C45" i="2" s="1"/>
  <c r="F48" i="2" a="1"/>
  <c r="F48" i="2" s="1"/>
  <c r="F52" i="2" a="1"/>
  <c r="F52" i="2" s="1"/>
  <c r="D54" i="2" a="1"/>
  <c r="D54" i="2" s="1"/>
  <c r="C57" i="2" a="1"/>
  <c r="C57" i="2" s="1"/>
  <c r="G57" i="2" s="1"/>
  <c r="B60" i="2" a="1"/>
  <c r="B60" i="2" s="1"/>
  <c r="E61" i="2" a="1"/>
  <c r="E61" i="2" s="1"/>
  <c r="B63" i="2" a="1"/>
  <c r="B63" i="2" s="1"/>
  <c r="C64" i="2" a="1"/>
  <c r="C64" i="2" s="1"/>
  <c r="E65" i="2" a="1"/>
  <c r="E65" i="2" s="1"/>
  <c r="B70" i="2" a="1"/>
  <c r="B70" i="2" s="1"/>
  <c r="C71" i="2" a="1"/>
  <c r="C71" i="2" s="1"/>
  <c r="F72" i="2" a="1"/>
  <c r="F72" i="2" s="1"/>
  <c r="B77" i="2" a="1"/>
  <c r="B77" i="2" s="1"/>
  <c r="D78" i="2" a="1"/>
  <c r="D78" i="2" s="1"/>
  <c r="B80" i="2" a="1"/>
  <c r="B80" i="2" s="1"/>
  <c r="B84" i="2" a="1"/>
  <c r="B84" i="2" s="1"/>
  <c r="E85" i="2" a="1"/>
  <c r="E85" i="2" s="1"/>
  <c r="C87" i="2" a="1"/>
  <c r="C87" i="2" s="1"/>
  <c r="E88" i="2" a="1"/>
  <c r="E88" i="2" s="1"/>
  <c r="F89" i="2" a="1"/>
  <c r="F89" i="2" s="1"/>
  <c r="F92" i="2" a="1"/>
  <c r="F92" i="2" s="1"/>
  <c r="E95" i="2" a="1"/>
  <c r="E95" i="2" s="1"/>
  <c r="B97" i="2" a="1"/>
  <c r="B97" i="2" s="1"/>
  <c r="C100" i="2" a="1"/>
  <c r="C100" i="2" s="1"/>
  <c r="E101" i="2" a="1"/>
  <c r="E101" i="2" s="1"/>
  <c r="B4" i="2" a="1"/>
  <c r="B4" i="2" s="1"/>
  <c r="B5" i="2" a="1"/>
  <c r="B5" i="2" s="1"/>
  <c r="B6" i="2" a="1"/>
  <c r="B6" i="2" s="1"/>
  <c r="C7" i="2" a="1"/>
  <c r="C7" i="2" s="1"/>
  <c r="C8" i="2" a="1"/>
  <c r="C8" i="2" s="1"/>
  <c r="C9" i="2" a="1"/>
  <c r="C9" i="2" s="1"/>
  <c r="D12" i="2" a="1"/>
  <c r="D12" i="2" s="1"/>
  <c r="E13" i="2" a="1"/>
  <c r="E13" i="2" s="1"/>
  <c r="E14" i="2" a="1"/>
  <c r="E14" i="2" s="1"/>
  <c r="E15" i="2" a="1"/>
  <c r="E15" i="2" s="1"/>
  <c r="F16" i="2" a="1"/>
  <c r="F16" i="2" s="1"/>
  <c r="G16" i="2" s="1"/>
  <c r="F17" i="2" a="1"/>
  <c r="F17" i="2" s="1"/>
  <c r="B20" i="2" a="1"/>
  <c r="B20" i="2" s="1"/>
  <c r="B21" i="2" a="1"/>
  <c r="B21" i="2" s="1"/>
  <c r="B22" i="2" a="1"/>
  <c r="B22" i="2" s="1"/>
  <c r="C23" i="2" a="1"/>
  <c r="C23" i="2" s="1"/>
  <c r="C24" i="2" a="1"/>
  <c r="C24" i="2" s="1"/>
  <c r="C25" i="2" a="1"/>
  <c r="C25" i="2" s="1"/>
  <c r="D28" i="2" a="1"/>
  <c r="D28" i="2" s="1"/>
  <c r="E29" i="2" a="1"/>
  <c r="E29" i="2" s="1"/>
  <c r="E30" i="2" a="1"/>
  <c r="E30" i="2" s="1"/>
  <c r="E31" i="2" a="1"/>
  <c r="E31" i="2" s="1"/>
  <c r="F32" i="2" a="1"/>
  <c r="F32" i="2" s="1"/>
  <c r="F33" i="2" a="1"/>
  <c r="F33" i="2" s="1"/>
  <c r="C36" i="2" a="1"/>
  <c r="C36" i="2" s="1"/>
  <c r="E37" i="2" a="1"/>
  <c r="E37" i="2" s="1"/>
  <c r="B40" i="2" a="1"/>
  <c r="B40" i="2" s="1"/>
  <c r="G40" i="2" s="1"/>
  <c r="D41" i="2" a="1"/>
  <c r="D41" i="2" s="1"/>
  <c r="B44" i="2" a="1"/>
  <c r="B44" i="2" s="1"/>
  <c r="D46" i="2" a="1"/>
  <c r="D46" i="2" s="1"/>
  <c r="F47" i="2" a="1"/>
  <c r="F47" i="2" s="1"/>
  <c r="B49" i="2" a="1"/>
  <c r="B49" i="2" s="1"/>
  <c r="B53" i="2" a="1"/>
  <c r="B53" i="2" s="1"/>
  <c r="E54" i="2" a="1"/>
  <c r="E54" i="2" s="1"/>
  <c r="B56" i="2" a="1"/>
  <c r="B56" i="2" s="1"/>
  <c r="G56" i="2" s="1"/>
  <c r="D57" i="2" a="1"/>
  <c r="D57" i="2" s="1"/>
  <c r="C60" i="2" a="1"/>
  <c r="C60" i="2" s="1"/>
  <c r="D64" i="2" a="1"/>
  <c r="D64" i="2" s="1"/>
  <c r="F68" i="2" a="1"/>
  <c r="F68" i="2" s="1"/>
  <c r="C70" i="2" a="1"/>
  <c r="C70" i="2" s="1"/>
  <c r="D71" i="2" a="1"/>
  <c r="D71" i="2" s="1"/>
  <c r="B73" i="2" a="1"/>
  <c r="B73" i="2" s="1"/>
  <c r="C77" i="2" a="1"/>
  <c r="C77" i="2" s="1"/>
  <c r="G77" i="2" s="1"/>
  <c r="E78" i="2" a="1"/>
  <c r="E78" i="2" s="1"/>
  <c r="C80" i="2" a="1"/>
  <c r="C80" i="2" s="1"/>
  <c r="E81" i="2" a="1"/>
  <c r="E81" i="2" s="1"/>
  <c r="C84" i="2" a="1"/>
  <c r="C84" i="2" s="1"/>
  <c r="D87" i="2" a="1"/>
  <c r="D87" i="2" s="1"/>
  <c r="B93" i="2" a="1"/>
  <c r="B93" i="2" s="1"/>
  <c r="D94" i="2" a="1"/>
  <c r="D94" i="2" s="1"/>
  <c r="F95" i="2" a="1"/>
  <c r="F95" i="2" s="1"/>
  <c r="G95" i="2" s="1"/>
  <c r="C97" i="2" a="1"/>
  <c r="C97" i="2" s="1"/>
  <c r="D100" i="2" a="1"/>
  <c r="D100" i="2" s="1"/>
  <c r="C6" i="2" a="1"/>
  <c r="C6" i="2" s="1"/>
  <c r="D9" i="2" a="1"/>
  <c r="D9" i="2" s="1"/>
  <c r="E12" i="2" a="1"/>
  <c r="E12" i="2" s="1"/>
  <c r="F15" i="2" a="1"/>
  <c r="F15" i="2" s="1"/>
  <c r="C22" i="2" a="1"/>
  <c r="C22" i="2" s="1"/>
  <c r="D25" i="2" a="1"/>
  <c r="D25" i="2" s="1"/>
  <c r="E28" i="2" a="1"/>
  <c r="E28" i="2" s="1"/>
  <c r="F31" i="2" a="1"/>
  <c r="F31" i="2" s="1"/>
  <c r="D36" i="2" a="1"/>
  <c r="D36" i="2" s="1"/>
  <c r="B39" i="2" a="1"/>
  <c r="B39" i="2" s="1"/>
  <c r="C40" i="2" a="1"/>
  <c r="C40" i="2" s="1"/>
  <c r="E41" i="2" a="1"/>
  <c r="E41" i="2" s="1"/>
  <c r="C44" i="2" a="1"/>
  <c r="C44" i="2" s="1"/>
  <c r="D45" i="2" a="1"/>
  <c r="D45" i="2" s="1"/>
  <c r="E46" i="2" a="1"/>
  <c r="E46" i="2" s="1"/>
  <c r="B48" i="2" a="1"/>
  <c r="B48" i="2" s="1"/>
  <c r="C49" i="2" a="1"/>
  <c r="C49" i="2" s="1"/>
  <c r="C53" i="2" a="1"/>
  <c r="C53" i="2" s="1"/>
  <c r="C56" i="2" a="1"/>
  <c r="C56" i="2" s="1"/>
  <c r="D60" i="2" a="1"/>
  <c r="D60" i="2" s="1"/>
  <c r="B62" i="2" a="1"/>
  <c r="B62" i="2" s="1"/>
  <c r="C63" i="2" a="1"/>
  <c r="C63" i="2" s="1"/>
  <c r="G63" i="2" s="1"/>
  <c r="E64" i="2" a="1"/>
  <c r="E64" i="2" s="1"/>
  <c r="B69" i="2" a="1"/>
  <c r="B69" i="2" s="1"/>
  <c r="E71" i="2" a="1"/>
  <c r="E71" i="2" s="1"/>
  <c r="C73" i="2" a="1"/>
  <c r="C73" i="2" s="1"/>
  <c r="B76" i="2" a="1"/>
  <c r="B76" i="2" s="1"/>
  <c r="D77" i="2" a="1"/>
  <c r="D77" i="2" s="1"/>
  <c r="D80" i="2" a="1"/>
  <c r="D80" i="2" s="1"/>
  <c r="D84" i="2" a="1"/>
  <c r="D84" i="2" s="1"/>
  <c r="B86" i="2" a="1"/>
  <c r="B86" i="2" s="1"/>
  <c r="E87" i="2" a="1"/>
  <c r="E87" i="2" s="1"/>
  <c r="C93" i="2" a="1"/>
  <c r="C93" i="2" s="1"/>
  <c r="E94" i="2" a="1"/>
  <c r="E94" i="2" s="1"/>
  <c r="D97" i="2" a="1"/>
  <c r="D97" i="2" s="1"/>
  <c r="E100" i="2" a="1"/>
  <c r="E100" i="2" s="1"/>
  <c r="C5" i="2" a="1"/>
  <c r="C5" i="2" s="1"/>
  <c r="D8" i="2" a="1"/>
  <c r="D8" i="2" s="1"/>
  <c r="C21" i="2" a="1"/>
  <c r="C21" i="2" s="1"/>
  <c r="D24" i="2" a="1"/>
  <c r="D24" i="2" s="1"/>
  <c r="D40" i="2" a="1"/>
  <c r="D40" i="2" s="1"/>
  <c r="C48" i="2" a="1"/>
  <c r="C48" i="2" s="1"/>
  <c r="D53" i="2" a="1"/>
  <c r="D53" i="2" s="1"/>
  <c r="B55" i="2" a="1"/>
  <c r="B55" i="2" s="1"/>
  <c r="D56" i="2" a="1"/>
  <c r="D56" i="2" s="1"/>
  <c r="E57" i="2" a="1"/>
  <c r="E57" i="2" s="1"/>
  <c r="E60" i="2" a="1"/>
  <c r="E60" i="2" s="1"/>
  <c r="D63" i="2" a="1"/>
  <c r="D63" i="2" s="1"/>
  <c r="C69" i="2" a="1"/>
  <c r="C69" i="2" s="1"/>
  <c r="D70" i="2" a="1"/>
  <c r="D70" i="2" s="1"/>
  <c r="D73" i="2" a="1"/>
  <c r="D73" i="2" s="1"/>
  <c r="C76" i="2" a="1"/>
  <c r="C76" i="2" s="1"/>
  <c r="G76" i="2" s="1"/>
  <c r="B79" i="2" a="1"/>
  <c r="B79" i="2" s="1"/>
  <c r="E80" i="2" a="1"/>
  <c r="E80" i="2" s="1"/>
  <c r="E84" i="2" a="1"/>
  <c r="E84" i="2" s="1"/>
  <c r="C86" i="2" a="1"/>
  <c r="C86" i="2" s="1"/>
  <c r="B89" i="2" a="1"/>
  <c r="B89" i="2" s="1"/>
  <c r="D93" i="2" a="1"/>
  <c r="D93" i="2" s="1"/>
  <c r="B96" i="2" a="1"/>
  <c r="B96" i="2" s="1"/>
  <c r="E97" i="2" a="1"/>
  <c r="E97" i="2" s="1"/>
  <c r="B2" i="2" a="1"/>
  <c r="B2" i="2" s="1"/>
  <c r="C2" i="2" a="1"/>
  <c r="C2" i="2" s="1"/>
  <c r="D2" i="2" a="1"/>
  <c r="D2" i="2" s="1"/>
  <c r="E2" i="2" a="1"/>
  <c r="E2" i="2" s="1"/>
  <c r="I6" i="6"/>
  <c r="I7" i="6"/>
  <c r="I27" i="6"/>
  <c r="I26" i="6"/>
  <c r="I5" i="6"/>
  <c r="I4" i="6"/>
  <c r="C22" i="4"/>
  <c r="K22" i="4" s="1"/>
  <c r="C38" i="4"/>
  <c r="K38" i="4" s="1"/>
  <c r="C54" i="4"/>
  <c r="K54" i="4" s="1"/>
  <c r="C70" i="4"/>
  <c r="K70" i="4" s="1"/>
  <c r="C86" i="4"/>
  <c r="K86" i="4" s="1"/>
  <c r="C102" i="4"/>
  <c r="K102" i="4" s="1"/>
  <c r="C11" i="1"/>
  <c r="D26" i="4" s="1"/>
  <c r="H26" i="4" s="1"/>
  <c r="C19" i="1"/>
  <c r="D34" i="4" s="1"/>
  <c r="H34" i="4" s="1"/>
  <c r="C27" i="1"/>
  <c r="D42" i="4" s="1"/>
  <c r="H42" i="4" s="1"/>
  <c r="C35" i="1"/>
  <c r="D50" i="4" s="1"/>
  <c r="H50" i="4" s="1"/>
  <c r="C43" i="1"/>
  <c r="D58" i="4" s="1"/>
  <c r="H58" i="4" s="1"/>
  <c r="C51" i="1"/>
  <c r="D66" i="4" s="1"/>
  <c r="H66" i="4" s="1"/>
  <c r="C59" i="1"/>
  <c r="D74" i="4" s="1"/>
  <c r="H74" i="4" s="1"/>
  <c r="C67" i="1"/>
  <c r="D82" i="4" s="1"/>
  <c r="C75" i="1"/>
  <c r="D90" i="4" s="1"/>
  <c r="H90" i="4" s="1"/>
  <c r="C83" i="1"/>
  <c r="D98" i="4" s="1"/>
  <c r="H98" i="4" s="1"/>
  <c r="C91" i="1"/>
  <c r="D106" i="4" s="1"/>
  <c r="C99" i="1"/>
  <c r="D114" i="4" s="1"/>
  <c r="H114" i="4" s="1"/>
  <c r="C23" i="4"/>
  <c r="K23" i="4" s="1"/>
  <c r="C39" i="4"/>
  <c r="K39" i="4" s="1"/>
  <c r="C55" i="4"/>
  <c r="K55" i="4" s="1"/>
  <c r="C71" i="4"/>
  <c r="K71" i="4" s="1"/>
  <c r="C87" i="4"/>
  <c r="K87" i="4" s="1"/>
  <c r="C103" i="4"/>
  <c r="K103" i="4" s="1"/>
  <c r="C4" i="1"/>
  <c r="D19" i="4" s="1"/>
  <c r="H19" i="4" s="1"/>
  <c r="C12" i="1"/>
  <c r="D27" i="4" s="1"/>
  <c r="H27" i="4" s="1"/>
  <c r="C20" i="1"/>
  <c r="D35" i="4" s="1"/>
  <c r="C28" i="1"/>
  <c r="D43" i="4" s="1"/>
  <c r="H43" i="4" s="1"/>
  <c r="C36" i="1"/>
  <c r="D51" i="4" s="1"/>
  <c r="H51" i="4" s="1"/>
  <c r="C44" i="1"/>
  <c r="D59" i="4" s="1"/>
  <c r="H59" i="4" s="1"/>
  <c r="C52" i="1"/>
  <c r="D67" i="4" s="1"/>
  <c r="H67" i="4" s="1"/>
  <c r="C60" i="1"/>
  <c r="D75" i="4" s="1"/>
  <c r="H75" i="4" s="1"/>
  <c r="C68" i="1"/>
  <c r="D83" i="4" s="1"/>
  <c r="C76" i="1"/>
  <c r="D91" i="4" s="1"/>
  <c r="H91" i="4" s="1"/>
  <c r="C84" i="1"/>
  <c r="D99" i="4" s="1"/>
  <c r="H99" i="4" s="1"/>
  <c r="C92" i="1"/>
  <c r="D107" i="4" s="1"/>
  <c r="C100" i="1"/>
  <c r="D115" i="4" s="1"/>
  <c r="C24" i="4"/>
  <c r="K24" i="4" s="1"/>
  <c r="C40" i="4"/>
  <c r="K40" i="4" s="1"/>
  <c r="C56" i="4"/>
  <c r="K56" i="4" s="1"/>
  <c r="C72" i="4"/>
  <c r="K72" i="4" s="1"/>
  <c r="C88" i="4"/>
  <c r="K88" i="4" s="1"/>
  <c r="C104" i="4"/>
  <c r="K104" i="4" s="1"/>
  <c r="C5" i="1"/>
  <c r="D20" i="4" s="1"/>
  <c r="H20" i="4" s="1"/>
  <c r="C13" i="1"/>
  <c r="D28" i="4" s="1"/>
  <c r="H28" i="4" s="1"/>
  <c r="C21" i="1"/>
  <c r="D36" i="4" s="1"/>
  <c r="C29" i="1"/>
  <c r="D44" i="4" s="1"/>
  <c r="H44" i="4" s="1"/>
  <c r="C37" i="1"/>
  <c r="D52" i="4" s="1"/>
  <c r="H52" i="4" s="1"/>
  <c r="C45" i="1"/>
  <c r="D60" i="4" s="1"/>
  <c r="H60" i="4" s="1"/>
  <c r="C53" i="1"/>
  <c r="D68" i="4" s="1"/>
  <c r="H68" i="4" s="1"/>
  <c r="C61" i="1"/>
  <c r="D76" i="4" s="1"/>
  <c r="H76" i="4" s="1"/>
  <c r="C69" i="1"/>
  <c r="D84" i="4" s="1"/>
  <c r="H84" i="4" s="1"/>
  <c r="C77" i="1"/>
  <c r="D92" i="4" s="1"/>
  <c r="C85" i="1"/>
  <c r="D100" i="4" s="1"/>
  <c r="C93" i="1"/>
  <c r="D108" i="4" s="1"/>
  <c r="H108" i="4" s="1"/>
  <c r="C101" i="1"/>
  <c r="D116" i="4" s="1"/>
  <c r="H116" i="4" s="1"/>
  <c r="C29" i="4"/>
  <c r="K29" i="4" s="1"/>
  <c r="C45" i="4"/>
  <c r="K45" i="4" s="1"/>
  <c r="C61" i="4"/>
  <c r="K61" i="4" s="1"/>
  <c r="C77" i="4"/>
  <c r="K77" i="4" s="1"/>
  <c r="C93" i="4"/>
  <c r="K93" i="4" s="1"/>
  <c r="C109" i="4"/>
  <c r="K109" i="4" s="1"/>
  <c r="C6" i="1"/>
  <c r="D21" i="4" s="1"/>
  <c r="H21" i="4" s="1"/>
  <c r="C22" i="1"/>
  <c r="D37" i="4" s="1"/>
  <c r="C38" i="1"/>
  <c r="D53" i="4" s="1"/>
  <c r="H53" i="4" s="1"/>
  <c r="C54" i="1"/>
  <c r="D69" i="4" s="1"/>
  <c r="H69" i="4" s="1"/>
  <c r="C70" i="1"/>
  <c r="D85" i="4" s="1"/>
  <c r="C86" i="1"/>
  <c r="D101" i="4" s="1"/>
  <c r="C30" i="4"/>
  <c r="K30" i="4" s="1"/>
  <c r="C46" i="4"/>
  <c r="K46" i="4" s="1"/>
  <c r="C62" i="4"/>
  <c r="K62" i="4" s="1"/>
  <c r="C78" i="4"/>
  <c r="K78" i="4" s="1"/>
  <c r="C94" i="4"/>
  <c r="K94" i="4" s="1"/>
  <c r="C110" i="4"/>
  <c r="K110" i="4" s="1"/>
  <c r="C31" i="4"/>
  <c r="K31" i="4" s="1"/>
  <c r="C47" i="4"/>
  <c r="K47" i="4" s="1"/>
  <c r="C63" i="4"/>
  <c r="K63" i="4" s="1"/>
  <c r="C79" i="4"/>
  <c r="K79" i="4" s="1"/>
  <c r="C95" i="4"/>
  <c r="K95" i="4" s="1"/>
  <c r="C111" i="4"/>
  <c r="K111" i="4" s="1"/>
  <c r="C32" i="4"/>
  <c r="K32" i="4" s="1"/>
  <c r="C48" i="4"/>
  <c r="K48" i="4" s="1"/>
  <c r="C64" i="4"/>
  <c r="K64" i="4" s="1"/>
  <c r="C80" i="4"/>
  <c r="K80" i="4" s="1"/>
  <c r="C96" i="4"/>
  <c r="K96" i="4" s="1"/>
  <c r="C112" i="4"/>
  <c r="K112" i="4" s="1"/>
  <c r="C18" i="1"/>
  <c r="D33" i="4" s="1"/>
  <c r="H33" i="4" s="1"/>
  <c r="C26" i="1"/>
  <c r="D41" i="4" s="1"/>
  <c r="H41" i="4" s="1"/>
  <c r="C34" i="1"/>
  <c r="D49" i="4" s="1"/>
  <c r="H49" i="4" s="1"/>
  <c r="C42" i="1"/>
  <c r="D57" i="4" s="1"/>
  <c r="H57" i="4" s="1"/>
  <c r="C50" i="1"/>
  <c r="D65" i="4" s="1"/>
  <c r="H65" i="4" s="1"/>
  <c r="C58" i="1"/>
  <c r="D73" i="4" s="1"/>
  <c r="C66" i="1"/>
  <c r="D81" i="4" s="1"/>
  <c r="H81" i="4" s="1"/>
  <c r="C74" i="1"/>
  <c r="D89" i="4" s="1"/>
  <c r="C82" i="1"/>
  <c r="D97" i="4" s="1"/>
  <c r="H97" i="4" s="1"/>
  <c r="C90" i="1"/>
  <c r="D105" i="4" s="1"/>
  <c r="H105" i="4" s="1"/>
  <c r="C98" i="1"/>
  <c r="D113" i="4" s="1"/>
  <c r="H113" i="4" s="1"/>
  <c r="D90" i="6"/>
  <c r="D17" i="4"/>
  <c r="D34" i="6"/>
  <c r="D42" i="6"/>
  <c r="D98" i="6"/>
  <c r="D50" i="6"/>
  <c r="H39" i="4"/>
  <c r="D3" i="6"/>
  <c r="D58" i="6"/>
  <c r="D66" i="6"/>
  <c r="D97" i="6"/>
  <c r="C17" i="4"/>
  <c r="K17" i="4" s="1"/>
  <c r="C25" i="4"/>
  <c r="K25" i="4" s="1"/>
  <c r="D10" i="6"/>
  <c r="D74" i="6"/>
  <c r="C18" i="4"/>
  <c r="K18" i="4" s="1"/>
  <c r="B10" i="4"/>
  <c r="D18" i="6"/>
  <c r="D82" i="6"/>
  <c r="D26" i="6"/>
  <c r="H25" i="4"/>
  <c r="H37" i="4"/>
  <c r="H94" i="4"/>
  <c r="D11" i="6"/>
  <c r="D27" i="6"/>
  <c r="D43" i="6"/>
  <c r="D59" i="6"/>
  <c r="D75" i="6"/>
  <c r="D83" i="6"/>
  <c r="D99" i="6"/>
  <c r="D4" i="6"/>
  <c r="D12" i="6"/>
  <c r="D20" i="6"/>
  <c r="D28" i="6"/>
  <c r="D36" i="6"/>
  <c r="D44" i="6"/>
  <c r="D52" i="6"/>
  <c r="D60" i="6"/>
  <c r="D68" i="6"/>
  <c r="D76" i="6"/>
  <c r="D84" i="6"/>
  <c r="D92" i="6"/>
  <c r="D100" i="6"/>
  <c r="D13" i="6"/>
  <c r="D45" i="6"/>
  <c r="D77" i="6"/>
  <c r="D93" i="6"/>
  <c r="D6" i="6"/>
  <c r="D14" i="6"/>
  <c r="D22" i="6"/>
  <c r="D30" i="6"/>
  <c r="D38" i="6"/>
  <c r="D46" i="6"/>
  <c r="D54" i="6"/>
  <c r="D62" i="6"/>
  <c r="D70" i="6"/>
  <c r="D78" i="6"/>
  <c r="D86" i="6"/>
  <c r="D94" i="6"/>
  <c r="D102" i="6"/>
  <c r="D5" i="6"/>
  <c r="D29" i="6"/>
  <c r="D61" i="6"/>
  <c r="D85" i="6"/>
  <c r="D7" i="6"/>
  <c r="D15" i="6"/>
  <c r="D23" i="6"/>
  <c r="D31" i="6"/>
  <c r="D39" i="6"/>
  <c r="D47" i="6"/>
  <c r="D55" i="6"/>
  <c r="D63" i="6"/>
  <c r="D71" i="6"/>
  <c r="D79" i="6"/>
  <c r="D87" i="6"/>
  <c r="D95" i="6"/>
  <c r="D19" i="6"/>
  <c r="D35" i="6"/>
  <c r="D51" i="6"/>
  <c r="D67" i="6"/>
  <c r="D91" i="6"/>
  <c r="D21" i="6"/>
  <c r="D37" i="6"/>
  <c r="D69" i="6"/>
  <c r="D101" i="6"/>
  <c r="D8" i="6"/>
  <c r="D16" i="6"/>
  <c r="D24" i="6"/>
  <c r="D32" i="6"/>
  <c r="D40" i="6"/>
  <c r="D48" i="6"/>
  <c r="D56" i="6"/>
  <c r="D64" i="6"/>
  <c r="D72" i="6"/>
  <c r="D80" i="6"/>
  <c r="D88" i="6"/>
  <c r="D96" i="6"/>
  <c r="D53" i="6"/>
  <c r="D9" i="6"/>
  <c r="D17" i="6"/>
  <c r="D25" i="6"/>
  <c r="D33" i="6"/>
  <c r="D41" i="6"/>
  <c r="D49" i="6"/>
  <c r="D57" i="6"/>
  <c r="D65" i="6"/>
  <c r="D73" i="6"/>
  <c r="D81" i="6"/>
  <c r="D89" i="6"/>
  <c r="H61" i="4"/>
  <c r="G24" i="2"/>
  <c r="G41" i="2"/>
  <c r="G49" i="2"/>
  <c r="G79" i="2"/>
  <c r="H35" i="4"/>
  <c r="H71" i="4"/>
  <c r="H89" i="4"/>
  <c r="H93" i="4"/>
  <c r="H102" i="4"/>
  <c r="H55" i="4"/>
  <c r="H73" i="4"/>
  <c r="H85" i="4"/>
  <c r="G86" i="2"/>
  <c r="H79" i="4"/>
  <c r="H92" i="4"/>
  <c r="H101" i="4"/>
  <c r="H107" i="4"/>
  <c r="B8" i="4"/>
  <c r="B9" i="4"/>
  <c r="H54" i="4"/>
  <c r="H109" i="4"/>
  <c r="H36" i="4"/>
  <c r="H83" i="4"/>
  <c r="H100" i="4"/>
  <c r="G15" i="2"/>
  <c r="G19" i="2"/>
  <c r="H77" i="4"/>
  <c r="G21" i="2"/>
  <c r="G74" i="2"/>
  <c r="H115" i="4"/>
  <c r="H24" i="4"/>
  <c r="H88" i="4"/>
  <c r="H82" i="4"/>
  <c r="H80" i="4"/>
  <c r="H112" i="4"/>
  <c r="H106" i="4"/>
  <c r="H104" i="4"/>
  <c r="H64" i="4"/>
  <c r="H86" i="4"/>
  <c r="G55" i="2" l="1"/>
  <c r="H78" i="4"/>
  <c r="G48" i="2"/>
  <c r="G68" i="2"/>
  <c r="G100" i="2"/>
  <c r="G45" i="2"/>
  <c r="G72" i="2"/>
  <c r="G81" i="2"/>
  <c r="G62" i="2"/>
  <c r="G47" i="2"/>
  <c r="G67" i="2"/>
  <c r="G85" i="2"/>
  <c r="H87" i="4"/>
  <c r="H96" i="4"/>
  <c r="H30" i="4"/>
  <c r="H63" i="4"/>
  <c r="H95" i="4"/>
  <c r="H72" i="4"/>
  <c r="H70" i="4"/>
  <c r="H32" i="4"/>
  <c r="H40" i="4"/>
  <c r="H62" i="4"/>
  <c r="H31" i="4"/>
  <c r="H38" i="4"/>
  <c r="H110" i="4"/>
  <c r="H103" i="4"/>
  <c r="H111" i="4"/>
  <c r="H56" i="4"/>
  <c r="H48" i="4"/>
  <c r="H23" i="4"/>
  <c r="H22" i="4"/>
  <c r="H47" i="4"/>
  <c r="H46" i="4"/>
  <c r="B6" i="4"/>
  <c r="B7" i="4"/>
  <c r="H17" i="4"/>
  <c r="G101" i="2"/>
  <c r="G36" i="2"/>
  <c r="G31" i="2"/>
  <c r="G27" i="2"/>
  <c r="G30" i="2"/>
  <c r="H45" i="4"/>
  <c r="G29" i="2"/>
  <c r="H29" i="4"/>
  <c r="G14" i="2"/>
  <c r="G11" i="2"/>
  <c r="G8" i="2"/>
  <c r="G7" i="2"/>
  <c r="H18" i="4"/>
  <c r="G5" i="2"/>
  <c r="G3" i="2"/>
  <c r="G4" i="4"/>
  <c r="G5" i="4" s="1"/>
  <c r="G98" i="2"/>
  <c r="G78" i="2"/>
  <c r="G75" i="2"/>
  <c r="G66" i="2"/>
  <c r="G58" i="2"/>
  <c r="G53" i="2"/>
  <c r="G44" i="2"/>
  <c r="G39" i="2"/>
  <c r="G35" i="2"/>
  <c r="G13" i="2"/>
  <c r="G96" i="2"/>
  <c r="G89" i="2"/>
  <c r="G22" i="2"/>
  <c r="G99" i="2"/>
  <c r="G93" i="2"/>
  <c r="G90" i="2"/>
  <c r="G80" i="2"/>
  <c r="G6" i="2"/>
  <c r="G97" i="2"/>
  <c r="G87" i="2"/>
  <c r="G73" i="2"/>
  <c r="G69" i="2"/>
  <c r="G65" i="2"/>
  <c r="G64" i="2"/>
  <c r="G60" i="2"/>
  <c r="G51" i="2"/>
  <c r="G50" i="2"/>
  <c r="G46" i="2"/>
  <c r="G42" i="2"/>
  <c r="G37" i="2"/>
  <c r="G33" i="2"/>
  <c r="G32" i="2"/>
  <c r="G26" i="2"/>
  <c r="G25" i="2"/>
  <c r="G18" i="2"/>
  <c r="G17" i="2"/>
  <c r="G10" i="2"/>
  <c r="G9" i="2"/>
  <c r="G2" i="2"/>
  <c r="G61" i="2"/>
  <c r="G43" i="2"/>
  <c r="G84" i="2"/>
  <c r="G28" i="2"/>
  <c r="G94" i="2"/>
  <c r="G38" i="2"/>
  <c r="G91" i="2"/>
  <c r="G52" i="2"/>
  <c r="G92" i="2"/>
  <c r="G83" i="2"/>
  <c r="G4" i="2"/>
  <c r="G20" i="2"/>
  <c r="G88" i="2"/>
  <c r="G70" i="2"/>
  <c r="G34" i="2"/>
  <c r="G12" i="2"/>
  <c r="D6" i="4" l="1"/>
  <c r="E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<sst xmlns="http://schemas.openxmlformats.org/spreadsheetml/2006/main" count="839" uniqueCount="583">
  <si>
    <t>ID Tarjeta</t>
  </si>
  <si>
    <t>Nombre Tarjeta</t>
  </si>
  <si>
    <t>MAC Address (AUTO)</t>
  </si>
  <si>
    <t>Firmware PCB Principal</t>
  </si>
  <si>
    <t>Nombre Tarjeta Respaldo</t>
  </si>
  <si>
    <t>MAC Address Respaldo (AUTO)</t>
  </si>
  <si>
    <t>Firmware PCB Respaldo</t>
  </si>
  <si>
    <t>Semana Producción</t>
  </si>
  <si>
    <t>Fecha Proyectada Entrega</t>
  </si>
  <si>
    <t>Fecha Real Entrega</t>
  </si>
  <si>
    <t>Gabinete</t>
  </si>
  <si>
    <t>Semanas</t>
  </si>
  <si>
    <t>2</t>
  </si>
  <si>
    <t>2026-W01</t>
  </si>
  <si>
    <t>2026-W02</t>
  </si>
  <si>
    <t>3.2</t>
  </si>
  <si>
    <t>2026-W03</t>
  </si>
  <si>
    <t>3.3</t>
  </si>
  <si>
    <t>2026-W04</t>
  </si>
  <si>
    <t>4.0</t>
  </si>
  <si>
    <t>2026-W05</t>
  </si>
  <si>
    <t>2026-W06</t>
  </si>
  <si>
    <t>2026-W07</t>
  </si>
  <si>
    <t>2026-W08</t>
  </si>
  <si>
    <t>2026-W09</t>
  </si>
  <si>
    <t>2026-W10</t>
  </si>
  <si>
    <t>0011</t>
  </si>
  <si>
    <t>2026-W11</t>
  </si>
  <si>
    <t>0012</t>
  </si>
  <si>
    <t>2026-W12</t>
  </si>
  <si>
    <t>0013</t>
  </si>
  <si>
    <t>2026-W13</t>
  </si>
  <si>
    <t>0014</t>
  </si>
  <si>
    <t>2026-W14</t>
  </si>
  <si>
    <t>0015</t>
  </si>
  <si>
    <t>2026-W15</t>
  </si>
  <si>
    <t>0016</t>
  </si>
  <si>
    <t>2026-W16</t>
  </si>
  <si>
    <t>0017</t>
  </si>
  <si>
    <t>2026-W17</t>
  </si>
  <si>
    <t>0018</t>
  </si>
  <si>
    <t>2026-W18</t>
  </si>
  <si>
    <t>0019</t>
  </si>
  <si>
    <t>2026-W19</t>
  </si>
  <si>
    <t>0020</t>
  </si>
  <si>
    <t>2026-W20</t>
  </si>
  <si>
    <t>0021</t>
  </si>
  <si>
    <t>2026-W21</t>
  </si>
  <si>
    <t>0022</t>
  </si>
  <si>
    <t>2026-W22</t>
  </si>
  <si>
    <t>0023</t>
  </si>
  <si>
    <t>2026-W23</t>
  </si>
  <si>
    <t>0024</t>
  </si>
  <si>
    <t>2026-W24</t>
  </si>
  <si>
    <t>0025</t>
  </si>
  <si>
    <t>2026-W25</t>
  </si>
  <si>
    <t>0026</t>
  </si>
  <si>
    <t>2026-W26</t>
  </si>
  <si>
    <t>0027</t>
  </si>
  <si>
    <t>2026-W27</t>
  </si>
  <si>
    <t>0028</t>
  </si>
  <si>
    <t>2026-W28</t>
  </si>
  <si>
    <t>0029</t>
  </si>
  <si>
    <t>2026-W29</t>
  </si>
  <si>
    <t>0030</t>
  </si>
  <si>
    <t>2026-W30</t>
  </si>
  <si>
    <t>0031</t>
  </si>
  <si>
    <t>2026-W31</t>
  </si>
  <si>
    <t>0032</t>
  </si>
  <si>
    <t>2026-W32</t>
  </si>
  <si>
    <t>0033</t>
  </si>
  <si>
    <t>2026-W33</t>
  </si>
  <si>
    <t>0034</t>
  </si>
  <si>
    <t>2026-W34</t>
  </si>
  <si>
    <t>0035</t>
  </si>
  <si>
    <t>2026-W35</t>
  </si>
  <si>
    <t>0036</t>
  </si>
  <si>
    <t>2026-W36</t>
  </si>
  <si>
    <t>0037</t>
  </si>
  <si>
    <t>2026-W37</t>
  </si>
  <si>
    <t>0038</t>
  </si>
  <si>
    <t>2026-W38</t>
  </si>
  <si>
    <t>0039</t>
  </si>
  <si>
    <t>2026-W39</t>
  </si>
  <si>
    <t>0040</t>
  </si>
  <si>
    <t>2026-W40</t>
  </si>
  <si>
    <t>0041</t>
  </si>
  <si>
    <t>2026-W41</t>
  </si>
  <si>
    <t>0042</t>
  </si>
  <si>
    <t>2026-W42</t>
  </si>
  <si>
    <t>0043</t>
  </si>
  <si>
    <t>2026-W43</t>
  </si>
  <si>
    <t>0044</t>
  </si>
  <si>
    <t>2026-W44</t>
  </si>
  <si>
    <t>0045</t>
  </si>
  <si>
    <t>2026-W45</t>
  </si>
  <si>
    <t>0046</t>
  </si>
  <si>
    <t>2026-W46</t>
  </si>
  <si>
    <t>0047</t>
  </si>
  <si>
    <t>2026-W47</t>
  </si>
  <si>
    <t>0048</t>
  </si>
  <si>
    <t>2026-W48</t>
  </si>
  <si>
    <t>0049</t>
  </si>
  <si>
    <t>2026-W49</t>
  </si>
  <si>
    <t>0050</t>
  </si>
  <si>
    <t>2026-W50</t>
  </si>
  <si>
    <t>0051</t>
  </si>
  <si>
    <t>2026-W51</t>
  </si>
  <si>
    <t>0052</t>
  </si>
  <si>
    <t>2026-W52</t>
  </si>
  <si>
    <t>0053</t>
  </si>
  <si>
    <t>2026-W53</t>
  </si>
  <si>
    <t>0054</t>
  </si>
  <si>
    <t>2027-W01</t>
  </si>
  <si>
    <t>0055</t>
  </si>
  <si>
    <t>2027-W02</t>
  </si>
  <si>
    <t>0056</t>
  </si>
  <si>
    <t>2027-W03</t>
  </si>
  <si>
    <t>0057</t>
  </si>
  <si>
    <t>2027-W04</t>
  </si>
  <si>
    <t>0058</t>
  </si>
  <si>
    <t>2027-W05</t>
  </si>
  <si>
    <t>0059</t>
  </si>
  <si>
    <t>2027-W06</t>
  </si>
  <si>
    <t>0060</t>
  </si>
  <si>
    <t>2027-W07</t>
  </si>
  <si>
    <t>0061</t>
  </si>
  <si>
    <t>2027-W08</t>
  </si>
  <si>
    <t>0062</t>
  </si>
  <si>
    <t>2027-W09</t>
  </si>
  <si>
    <t>0063</t>
  </si>
  <si>
    <t>2027-W10</t>
  </si>
  <si>
    <t>0064</t>
  </si>
  <si>
    <t>2027-W11</t>
  </si>
  <si>
    <t>0065</t>
  </si>
  <si>
    <t>2027-W12</t>
  </si>
  <si>
    <t>0066</t>
  </si>
  <si>
    <t>2027-W13</t>
  </si>
  <si>
    <t>0067</t>
  </si>
  <si>
    <t>2027-W14</t>
  </si>
  <si>
    <t>0068</t>
  </si>
  <si>
    <t>2027-W15</t>
  </si>
  <si>
    <t>0069</t>
  </si>
  <si>
    <t>2027-W16</t>
  </si>
  <si>
    <t>0070</t>
  </si>
  <si>
    <t>2027-W17</t>
  </si>
  <si>
    <t>0071</t>
  </si>
  <si>
    <t>2027-W18</t>
  </si>
  <si>
    <t>0072</t>
  </si>
  <si>
    <t>2027-W19</t>
  </si>
  <si>
    <t>0073</t>
  </si>
  <si>
    <t>2027-W20</t>
  </si>
  <si>
    <t>0074</t>
  </si>
  <si>
    <t>2027-W21</t>
  </si>
  <si>
    <t>2027-W22</t>
  </si>
  <si>
    <t>0076</t>
  </si>
  <si>
    <t>2027-W23</t>
  </si>
  <si>
    <t>0077</t>
  </si>
  <si>
    <t>2027-W24</t>
  </si>
  <si>
    <t>2027-W25</t>
  </si>
  <si>
    <t>0079</t>
  </si>
  <si>
    <t>2027-W26</t>
  </si>
  <si>
    <t>0080</t>
  </si>
  <si>
    <t>2027-W27</t>
  </si>
  <si>
    <t>0081</t>
  </si>
  <si>
    <t>2027-W28</t>
  </si>
  <si>
    <t>2027-W29</t>
  </si>
  <si>
    <t>0083</t>
  </si>
  <si>
    <t>2027-W30</t>
  </si>
  <si>
    <t>0084</t>
  </si>
  <si>
    <t>2027-W31</t>
  </si>
  <si>
    <t>0085</t>
  </si>
  <si>
    <t>2027-W32</t>
  </si>
  <si>
    <t>0086</t>
  </si>
  <si>
    <t>2027-W33</t>
  </si>
  <si>
    <t>0087</t>
  </si>
  <si>
    <t>2027-W34</t>
  </si>
  <si>
    <t>2027-W35</t>
  </si>
  <si>
    <t>0089</t>
  </si>
  <si>
    <t>2027-W36</t>
  </si>
  <si>
    <t>2027-W37</t>
  </si>
  <si>
    <t>2027-W38</t>
  </si>
  <si>
    <t>0092</t>
  </si>
  <si>
    <t>2027-W39</t>
  </si>
  <si>
    <t>0093</t>
  </si>
  <si>
    <t>2027-W40</t>
  </si>
  <si>
    <t>0094</t>
  </si>
  <si>
    <t>2027-W41</t>
  </si>
  <si>
    <t>2027-W42</t>
  </si>
  <si>
    <t>2027-W43</t>
  </si>
  <si>
    <t>2027-W44</t>
  </si>
  <si>
    <t>0098</t>
  </si>
  <si>
    <t>2027-W45</t>
  </si>
  <si>
    <t>0099</t>
  </si>
  <si>
    <t>2027-W46</t>
  </si>
  <si>
    <t>0100</t>
  </si>
  <si>
    <t>2027-W47</t>
  </si>
  <si>
    <t>2027-W48</t>
  </si>
  <si>
    <t>2027-W49</t>
  </si>
  <si>
    <t>2027-W50</t>
  </si>
  <si>
    <t>2027-W51</t>
  </si>
  <si>
    <t>2027-W52</t>
  </si>
  <si>
    <t>2027-W53</t>
  </si>
  <si>
    <t>Soldadura</t>
  </si>
  <si>
    <t>Programación</t>
  </si>
  <si>
    <t>Prueba PCB</t>
  </si>
  <si>
    <t>Integración</t>
  </si>
  <si>
    <t>Prueba Final</t>
  </si>
  <si>
    <t>Estado</t>
  </si>
  <si>
    <t>ACTUALIZACIÓN MASIVA DE PRUEBAS</t>
  </si>
  <si>
    <t>Fecha</t>
  </si>
  <si>
    <t>Proceso</t>
  </si>
  <si>
    <t>Estatus</t>
  </si>
  <si>
    <t>ID 1</t>
  </si>
  <si>
    <t>ID 2</t>
  </si>
  <si>
    <t>ID 3</t>
  </si>
  <si>
    <t>ID 4</t>
  </si>
  <si>
    <t>ID 5</t>
  </si>
  <si>
    <t>ID 6</t>
  </si>
  <si>
    <t>ID 7</t>
  </si>
  <si>
    <t>ID 8</t>
  </si>
  <si>
    <t>ID 9</t>
  </si>
  <si>
    <t>ID 10</t>
  </si>
  <si>
    <t>ID 11</t>
  </si>
  <si>
    <t>ID 12</t>
  </si>
  <si>
    <t>ID 13</t>
  </si>
  <si>
    <t>ID 14</t>
  </si>
  <si>
    <t>ID 15</t>
  </si>
  <si>
    <t>Una fila = una actualización. Elige Proceso + Estatus y selecciona de 1 a 15 IDs. Si luego vuelves a registrar la misma tarjeta/proceso en una fila inferior, prevalece el último estatus.</t>
  </si>
  <si>
    <t>Generador de etiquetas — DYMO LabelWriter 550</t>
  </si>
  <si>
    <t>IDs</t>
  </si>
  <si>
    <t>Estado Principal</t>
  </si>
  <si>
    <t>Estado Respaldo</t>
  </si>
  <si>
    <t>ID a imprimir</t>
  </si>
  <si>
    <t>Seleccionadas</t>
  </si>
  <si>
    <t>Con datos completos</t>
  </si>
  <si>
    <t>Vista previa</t>
  </si>
  <si>
    <t>TARJETA PRINCIPAL</t>
  </si>
  <si>
    <t>Texto completo</t>
  </si>
  <si>
    <t>Revisión</t>
  </si>
  <si>
    <t>COLA DE IMPRESIÓN DYMO</t>
  </si>
  <si>
    <t>IMPRIMIR</t>
  </si>
  <si>
    <t>ID</t>
  </si>
  <si>
    <t>Tarjeta</t>
  </si>
  <si>
    <t>MAC</t>
  </si>
  <si>
    <t>Respaldo</t>
  </si>
  <si>
    <t>MAC Respaldo</t>
  </si>
  <si>
    <t>Semana</t>
  </si>
  <si>
    <t>Etiqueta completa</t>
  </si>
  <si>
    <t>PCB PRINCIPALES</t>
  </si>
  <si>
    <t>PCB RESPALDO</t>
  </si>
  <si>
    <t>Nombre PCB</t>
  </si>
  <si>
    <t>MAC Address</t>
  </si>
  <si>
    <t>Estado PCB</t>
  </si>
  <si>
    <t>Asignada a</t>
  </si>
  <si>
    <t>CATÁLOGO DE FIRMWARE PRINCIPAL</t>
  </si>
  <si>
    <t>0101</t>
  </si>
  <si>
    <t>0103</t>
  </si>
  <si>
    <t>0104</t>
  </si>
  <si>
    <t>0105</t>
  </si>
  <si>
    <t>0117</t>
  </si>
  <si>
    <t>0118</t>
  </si>
  <si>
    <t>0107</t>
  </si>
  <si>
    <t>0112</t>
  </si>
  <si>
    <t>0113</t>
  </si>
  <si>
    <t>0114</t>
  </si>
  <si>
    <t>0119</t>
  </si>
  <si>
    <t>0120</t>
  </si>
  <si>
    <t>0121</t>
  </si>
  <si>
    <t>0122</t>
  </si>
  <si>
    <t>0123</t>
  </si>
  <si>
    <t>0125</t>
  </si>
  <si>
    <t>0127</t>
  </si>
  <si>
    <t>0128</t>
  </si>
  <si>
    <t>0130</t>
  </si>
  <si>
    <t>TQT-R1-V30-0011</t>
  </si>
  <si>
    <t>TQT-R1-V30-0012</t>
  </si>
  <si>
    <t>TQT-R1-V30-0013</t>
  </si>
  <si>
    <t>TQT-R1-V30-0014</t>
  </si>
  <si>
    <t>TQT-R1-V30-0015</t>
  </si>
  <si>
    <t>TQT-R1-V30-0016</t>
  </si>
  <si>
    <t>TQT-R1-V30-0017</t>
  </si>
  <si>
    <t>TQT-R1-V30-0018</t>
  </si>
  <si>
    <t>TQT-R1-V30-0019</t>
  </si>
  <si>
    <t>TQT-R1-V30-0020</t>
  </si>
  <si>
    <t>TQT-R1-V30-0021</t>
  </si>
  <si>
    <t>TQT-R1-V30-0022</t>
  </si>
  <si>
    <t>TQT-R1-V30-0023</t>
  </si>
  <si>
    <t>TQT-R1-V30-0024</t>
  </si>
  <si>
    <t>TQT-R1-V30-0025</t>
  </si>
  <si>
    <t>TQT-R1-V30-0026</t>
  </si>
  <si>
    <t>TQT-R1-V30-0027</t>
  </si>
  <si>
    <t>TQT-R1-V30-0028</t>
  </si>
  <si>
    <t>TQT-R1-V30-0029</t>
  </si>
  <si>
    <t>TQT-R1-V30-0030</t>
  </si>
  <si>
    <t>TQT-R1-V30-0031</t>
  </si>
  <si>
    <t>TQT-R1-V30-0032</t>
  </si>
  <si>
    <t>TQT-R1-V30-0033</t>
  </si>
  <si>
    <t>TQT-R1-V30-0034</t>
  </si>
  <si>
    <t>TQT-R1-V30-0035</t>
  </si>
  <si>
    <t>TQT-R1-V30-0036</t>
  </si>
  <si>
    <t>TQT-R1-V30-0037</t>
  </si>
  <si>
    <t>TQT-R1-V30-0038</t>
  </si>
  <si>
    <t>TQT-R1-V30-0039</t>
  </si>
  <si>
    <t>TQT-R1-V30-0040</t>
  </si>
  <si>
    <t>TQT-R1-V30-0041</t>
  </si>
  <si>
    <t>TQT-R1-V30-0042</t>
  </si>
  <si>
    <t>TQT-R1-V30-0043</t>
  </si>
  <si>
    <t>TQT-R1-V30-0044</t>
  </si>
  <si>
    <t>TQT-R1-V30-0045</t>
  </si>
  <si>
    <t>TQT-R1-V30-0046</t>
  </si>
  <si>
    <t>TQT-R1-V30-0047</t>
  </si>
  <si>
    <t>TQT-R1-V30-0048</t>
  </si>
  <si>
    <t>TQT-R1-V30-0049</t>
  </si>
  <si>
    <t>TQT-R1-V30-0050</t>
  </si>
  <si>
    <t>TQT-R1-V30-0051</t>
  </si>
  <si>
    <t>TQT-R1-V30-0052</t>
  </si>
  <si>
    <t>TQT-R1-V30-0053</t>
  </si>
  <si>
    <t>TQT-R1-V30-0054</t>
  </si>
  <si>
    <t>TQT-R1-V30-0055</t>
  </si>
  <si>
    <t>TQT-R1-V30-0056</t>
  </si>
  <si>
    <t>TQT-R1-V30-0057</t>
  </si>
  <si>
    <t>TQT-R1-V30-0058</t>
  </si>
  <si>
    <t>TQT-R1-V30-0059</t>
  </si>
  <si>
    <t>TQT-R1-V30-0060</t>
  </si>
  <si>
    <t>TQT-R1-V30-0061</t>
  </si>
  <si>
    <t>TQT-R1-V30-0062</t>
  </si>
  <si>
    <t>TQT-R1-V30-0063</t>
  </si>
  <si>
    <t>TQT-R1-V30-0064</t>
  </si>
  <si>
    <t>TQT-R1-V30-0065</t>
  </si>
  <si>
    <t>TQT-R1-V30-0066</t>
  </si>
  <si>
    <t>TQT-R1-V30-0067</t>
  </si>
  <si>
    <t>TQT-R1-V30-0068</t>
  </si>
  <si>
    <t>TQT-R1-V30-0069</t>
  </si>
  <si>
    <t>TQT-R1-V30-0070</t>
  </si>
  <si>
    <t>TQT-R1-V30-0071</t>
  </si>
  <si>
    <t>TQT-R1-V30-0072</t>
  </si>
  <si>
    <t>TQT-R1-V30-0073</t>
  </si>
  <si>
    <t>TQT-R1-V30-0074</t>
  </si>
  <si>
    <t>TQT-R1-V30-0076</t>
  </si>
  <si>
    <t>TQT-R1-V30-0077</t>
  </si>
  <si>
    <t>TQT-R1-V30-0079</t>
  </si>
  <si>
    <t>TQT-R1-V30-0080</t>
  </si>
  <si>
    <t>TQT-R1-V30-0081</t>
  </si>
  <si>
    <t>TQT-R1-V30-0083</t>
  </si>
  <si>
    <t>TQT-R1-V30-0084</t>
  </si>
  <si>
    <t>TQT-R1-V30-0085</t>
  </si>
  <si>
    <t>TQT-R1-V30-0086</t>
  </si>
  <si>
    <t>TQT-R1-V30-0087</t>
  </si>
  <si>
    <t>TQT-R1-V30-0089</t>
  </si>
  <si>
    <t>TQT-R1-V30-0092</t>
  </si>
  <si>
    <t>TQT-R1-V30-0093</t>
  </si>
  <si>
    <t>TQT-R1-V30-0094</t>
  </si>
  <si>
    <t>TQT-R1-V30-0098</t>
  </si>
  <si>
    <t>TQT-R1-V30-0099</t>
  </si>
  <si>
    <t>TQT-R1-V30-0100</t>
  </si>
  <si>
    <t>TQT-R1-V30-0101</t>
  </si>
  <si>
    <t>TQT-R1-V30-0103</t>
  </si>
  <si>
    <t>TQT-R1-V30-0104</t>
  </si>
  <si>
    <t>TQT-R1-V30-0105</t>
  </si>
  <si>
    <t>TQT-R1-V30-0107</t>
  </si>
  <si>
    <t>TQT-R1-V30-0112</t>
  </si>
  <si>
    <t>TQT-R1-V30-0113</t>
  </si>
  <si>
    <t>TQT-R1-V30-0114</t>
  </si>
  <si>
    <t>TQT-R1-V30-0117</t>
  </si>
  <si>
    <t>TQT-R1-V30-0118</t>
  </si>
  <si>
    <t>TQT-R1-V30-0119</t>
  </si>
  <si>
    <t>TQT-R1-V30-0120</t>
  </si>
  <si>
    <t>TQT-R1-V30-0121</t>
  </si>
  <si>
    <t>TQT-R1-V30-0122</t>
  </si>
  <si>
    <t>TQT-R1-V30-0123</t>
  </si>
  <si>
    <t>TQT-R1-V30-0125</t>
  </si>
  <si>
    <t>TQT-R1-V30-0127</t>
  </si>
  <si>
    <t>TQT-R1-V30-0128</t>
  </si>
  <si>
    <t>TQT-R1-V30-0130</t>
  </si>
  <si>
    <t>TQT-R2-V30-0011</t>
  </si>
  <si>
    <t>TQT-R2-V30-0012</t>
  </si>
  <si>
    <t>TQT-R2-V30-0013</t>
  </si>
  <si>
    <t>TQT-R2-V30-0014</t>
  </si>
  <si>
    <t>TQT-R2-V30-0015</t>
  </si>
  <si>
    <t>TQT-R2-V30-0016</t>
  </si>
  <si>
    <t>TQT-R2-V30-0017</t>
  </si>
  <si>
    <t>TQT-R2-V30-0019</t>
  </si>
  <si>
    <t>TQT-R2-V30-0020</t>
  </si>
  <si>
    <t>TQT-R2-V30-0021</t>
  </si>
  <si>
    <t>TQT-R2-V30-0022</t>
  </si>
  <si>
    <t>TQT-R2-V30-0023</t>
  </si>
  <si>
    <t>TQT-R2-V30-0024</t>
  </si>
  <si>
    <t>TQT-R2-V30-0025</t>
  </si>
  <si>
    <t>TQT-R2-V30-0026</t>
  </si>
  <si>
    <t>TQT-R2-V30-0027</t>
  </si>
  <si>
    <t>TQT-R2-V30-0028</t>
  </si>
  <si>
    <t>TQT-R2-V30-0029</t>
  </si>
  <si>
    <t>TQT-R2-V30-0030</t>
  </si>
  <si>
    <t>TQT-R2-V30-0031</t>
  </si>
  <si>
    <t>TQT-R2-V30-0032</t>
  </si>
  <si>
    <t>TQT-R2-V30-0033</t>
  </si>
  <si>
    <t>TQT-R2-V30-0034</t>
  </si>
  <si>
    <t>TQT-R2-V30-0035</t>
  </si>
  <si>
    <t>TQT-R2-V30-0037</t>
  </si>
  <si>
    <t>TQT-R2-V30-0039</t>
  </si>
  <si>
    <t>TQT-R2-V30-0040</t>
  </si>
  <si>
    <t>TQT-R2-V30-0041</t>
  </si>
  <si>
    <t>TQT-R2-V30-0042</t>
  </si>
  <si>
    <t>TQT-R2-V30-0043</t>
  </si>
  <si>
    <t>TQT-R2-V30-0044</t>
  </si>
  <si>
    <t>TQT-R2-V30-0045</t>
  </si>
  <si>
    <t>TQT-R2-V30-0046</t>
  </si>
  <si>
    <t>TQT-R2-V30-0047</t>
  </si>
  <si>
    <t>TQT-R2-V30-0048</t>
  </si>
  <si>
    <t>TQT-R2-V30-0049</t>
  </si>
  <si>
    <t>TQT-R2-V30-0050</t>
  </si>
  <si>
    <t>TQT-R2-V30-0051</t>
  </si>
  <si>
    <t>TQT-R2-V30-0052</t>
  </si>
  <si>
    <t>TQT-R2-V30-0053</t>
  </si>
  <si>
    <t>TQT-R2-V30-0054</t>
  </si>
  <si>
    <t>TQT-R2-V30-0055</t>
  </si>
  <si>
    <t>TQT-R2-V30-0056</t>
  </si>
  <si>
    <t>TQT-R2-V30-0057</t>
  </si>
  <si>
    <t>TQT-R2-V30-0058</t>
  </si>
  <si>
    <t>TQT-R2-V30-0059</t>
  </si>
  <si>
    <t>TQT-R2-V30-0060</t>
  </si>
  <si>
    <t>TQT-R2-V30-0061</t>
  </si>
  <si>
    <t>TQT-R2-V30-0062</t>
  </si>
  <si>
    <t>TQT-R2-V30-0063</t>
  </si>
  <si>
    <t>TQT-R2-V30-0064</t>
  </si>
  <si>
    <t>TQT-R2-V30-0065</t>
  </si>
  <si>
    <t>TQT-R2-V30-0066</t>
  </si>
  <si>
    <t>TQT-R2-V30-0067</t>
  </si>
  <si>
    <t>TQT-R2-V30-0068</t>
  </si>
  <si>
    <t>TQT-R2-V30-0069</t>
  </si>
  <si>
    <t>TQT-R2-V30-0070</t>
  </si>
  <si>
    <t>TQT-R2-V30-0071</t>
  </si>
  <si>
    <t>TQT-R2-V30-0072</t>
  </si>
  <si>
    <t>TQT-R2-V30-0073</t>
  </si>
  <si>
    <t>TQT-R2-V30-0074</t>
  </si>
  <si>
    <t>TQT-R2-V30-0075</t>
  </si>
  <si>
    <t>TQT-R2-V30-0076</t>
  </si>
  <si>
    <t>TQT-R2-V30-0077</t>
  </si>
  <si>
    <t>TQT-R2-V30-0078</t>
  </si>
  <si>
    <t>TQT-R2-V30-0079</t>
  </si>
  <si>
    <t>TQT-R2-V30-0080</t>
  </si>
  <si>
    <t>TQT-R2-V30-0081</t>
  </si>
  <si>
    <t>TQT-R2-V30-0082</t>
  </si>
  <si>
    <t>TQT-R2-V30-0083</t>
  </si>
  <si>
    <t>TQT-R2-V30-0084</t>
  </si>
  <si>
    <t>TQT-R2-V30-0085</t>
  </si>
  <si>
    <t>TQT-R2-V30-0086</t>
  </si>
  <si>
    <t>TQT-R2-V30-0087</t>
  </si>
  <si>
    <t>TQT-R2-V30-0088</t>
  </si>
  <si>
    <t>TQT-R2-V30-0089</t>
  </si>
  <si>
    <t>TQT-R2-V30-0090</t>
  </si>
  <si>
    <t>TQT-R2-V30-0091</t>
  </si>
  <si>
    <t>TQT-R2-V30-0092</t>
  </si>
  <si>
    <t>TQT-R2-V30-0093</t>
  </si>
  <si>
    <t>TQT-R2-V30-0094</t>
  </si>
  <si>
    <t>TQT-R2-V30-0095</t>
  </si>
  <si>
    <t>TQT-R2-V30-0096</t>
  </si>
  <si>
    <t>TQT-R2-V30-0097</t>
  </si>
  <si>
    <t>TQT-R2-V30-0098</t>
  </si>
  <si>
    <t>TQT-R2-V30-0099</t>
  </si>
  <si>
    <t>TQT-R2-V30-0100</t>
  </si>
  <si>
    <t>TQT-R2-V30-0101</t>
  </si>
  <si>
    <t>TQT-R2-V30-0102</t>
  </si>
  <si>
    <t>TQT-R2-V30-0103</t>
  </si>
  <si>
    <t>TQT-R2-V30-0104</t>
  </si>
  <si>
    <t>TQT-R2-V30-0105</t>
  </si>
  <si>
    <t>TQT-R2-V30-0106</t>
  </si>
  <si>
    <t>TQT-R2-V30-0108</t>
  </si>
  <si>
    <t>TQT-R2-V30-0109</t>
  </si>
  <si>
    <t>TQT-R2-V30-0110</t>
  </si>
  <si>
    <t>TQT-R2-V30-0115</t>
  </si>
  <si>
    <t>TQT-R2-V30-0116</t>
  </si>
  <si>
    <t>TQT-R2-V30-0117</t>
  </si>
  <si>
    <t>TQT-R2-V30-0118</t>
  </si>
  <si>
    <t/>
  </si>
  <si>
    <t>2.1</t>
  </si>
  <si>
    <t>4.1</t>
  </si>
  <si>
    <t>4.2</t>
  </si>
  <si>
    <t>CATÁLOGO DE FIRMWARE RESPALDO</t>
  </si>
  <si>
    <t>PCB R3</t>
  </si>
  <si>
    <t>TQT-R3-V30-0011</t>
  </si>
  <si>
    <t>TQT-R3-V30-0012</t>
  </si>
  <si>
    <t>TQT-R3-V30-0013</t>
  </si>
  <si>
    <t>TQT-R3-V30-0014</t>
  </si>
  <si>
    <t>TQT-R3-V30-0015</t>
  </si>
  <si>
    <t>TQT-R3-V30-0016</t>
  </si>
  <si>
    <t>TQT-R3-V30-0017</t>
  </si>
  <si>
    <t>TQT-R3-V30-0018</t>
  </si>
  <si>
    <t>TQT-R3-V30-0019</t>
  </si>
  <si>
    <t>TQT-R3-V30-0020</t>
  </si>
  <si>
    <t>TQT-R3-V30-0021</t>
  </si>
  <si>
    <t>TQT-R3-V30-0022</t>
  </si>
  <si>
    <t>TQT-R3-V30-0023</t>
  </si>
  <si>
    <t>TQT-R3-V30-0024</t>
  </si>
  <si>
    <t>TQT-R3-V30-0025</t>
  </si>
  <si>
    <t>TQT-R3-V30-0026</t>
  </si>
  <si>
    <t>TQT-R3-V30-0027</t>
  </si>
  <si>
    <t>TQT-R3-V30-0028</t>
  </si>
  <si>
    <t>TQT-R3-V30-0029</t>
  </si>
  <si>
    <t>TQT-R3-V30-0030</t>
  </si>
  <si>
    <t>TQT-R3-V30-0031</t>
  </si>
  <si>
    <t>TQT-R3-V30-0032</t>
  </si>
  <si>
    <t>TQT-R3-V30-0033</t>
  </si>
  <si>
    <t>TQT-R3-V30-0034</t>
  </si>
  <si>
    <t>TQT-R3-V30-0035</t>
  </si>
  <si>
    <t>TQT-R3-V30-0036</t>
  </si>
  <si>
    <t>TQT-R3-V30-0037</t>
  </si>
  <si>
    <t>TQT-R3-V30-0038</t>
  </si>
  <si>
    <t>TQT-R3-V30-0039</t>
  </si>
  <si>
    <t>TQT-R3-V30-0040</t>
  </si>
  <si>
    <t>TQT-R3-V30-0041</t>
  </si>
  <si>
    <t>TQT-R3-V30-0042</t>
  </si>
  <si>
    <t>TQT-R3-V30-0043</t>
  </si>
  <si>
    <t>TQT-R3-V30-0044</t>
  </si>
  <si>
    <t>TQT-R3-V30-0045</t>
  </si>
  <si>
    <t>TQT-R3-V30-0046</t>
  </si>
  <si>
    <t>TQT-R3-V30-0047</t>
  </si>
  <si>
    <t>TQT-R3-V30-0048</t>
  </si>
  <si>
    <t>TQT-R3-V30-0049</t>
  </si>
  <si>
    <t>TQT-R3-V30-0050</t>
  </si>
  <si>
    <t>TQT-R3-V30-0051</t>
  </si>
  <si>
    <t>TQT-R3-V30-0052</t>
  </si>
  <si>
    <t>TQT-R3-V30-0053</t>
  </si>
  <si>
    <t>TQT-R3-V30-0054</t>
  </si>
  <si>
    <t>TQT-R3-V30-0055</t>
  </si>
  <si>
    <t>TQT-R3-V30-0056</t>
  </si>
  <si>
    <t>TQT-R3-V30-0057</t>
  </si>
  <si>
    <t>TQT-R3-V30-0058</t>
  </si>
  <si>
    <t>TQT-R3-V30-0059</t>
  </si>
  <si>
    <t>TQT-R3-V30-0060</t>
  </si>
  <si>
    <t>TQT-R3-V30-0061</t>
  </si>
  <si>
    <t>TQT-R3-V30-0062</t>
  </si>
  <si>
    <t>TQT-R3-V30-0063</t>
  </si>
  <si>
    <t>TQT-R3-V30-0064</t>
  </si>
  <si>
    <t>TQT-R3-V30-0065</t>
  </si>
  <si>
    <t>TQT-R3-V30-0066</t>
  </si>
  <si>
    <t>TQT-R3-V30-0067</t>
  </si>
  <si>
    <t>TQT-R3-V30-0068</t>
  </si>
  <si>
    <t>TQT-R3-V30-0069</t>
  </si>
  <si>
    <t>TQT-R3-V30-0070</t>
  </si>
  <si>
    <t>TQT-R3-V30-0071</t>
  </si>
  <si>
    <t>TQT-R3-V30-0072</t>
  </si>
  <si>
    <t>TQT-R3-V30-0073</t>
  </si>
  <si>
    <t>TQT-R3-V30-0074</t>
  </si>
  <si>
    <t>TQT-R3-V30-0076</t>
  </si>
  <si>
    <t>TQT-R3-V30-0077</t>
  </si>
  <si>
    <t>TQT-R3-V30-0078</t>
  </si>
  <si>
    <t>TQT-R3-V30-0079</t>
  </si>
  <si>
    <t>TQT-R3-V30-0080</t>
  </si>
  <si>
    <t>TQT-R3-V30-0081</t>
  </si>
  <si>
    <t>TQT-R3-V30-0082</t>
  </si>
  <si>
    <t>TQT-R3-V30-0083</t>
  </si>
  <si>
    <t>TQT-R3-V30-0084</t>
  </si>
  <si>
    <t>TQT-R3-V30-0085</t>
  </si>
  <si>
    <t>TQT-R3-V30-0086</t>
  </si>
  <si>
    <t>TQT-R3-V30-0087</t>
  </si>
  <si>
    <t>TQT-R3-V30-0088</t>
  </si>
  <si>
    <t>TQT-R3-V30-0089</t>
  </si>
  <si>
    <t>TQT-R3-V30-0090</t>
  </si>
  <si>
    <t>TQT-R3-V30-0091</t>
  </si>
  <si>
    <t>TQT-R3-V30-0092</t>
  </si>
  <si>
    <t>TQT-R3-V30-0093</t>
  </si>
  <si>
    <t>TQT-R3-V30-0094</t>
  </si>
  <si>
    <t>TQT-R3-V30-0095</t>
  </si>
  <si>
    <t>TQT-R3-V30-0096</t>
  </si>
  <si>
    <t>TQT-R3-V30-0097</t>
  </si>
  <si>
    <t>TQT-R3-V30-0098</t>
  </si>
  <si>
    <t>TQT-R3-V30-0099</t>
  </si>
  <si>
    <t>TQT-R3-V30-0100</t>
  </si>
  <si>
    <t>TQT-R3-V30-0101</t>
  </si>
  <si>
    <t>TQT-R3-V30-0102</t>
  </si>
  <si>
    <t>TQT-R3-V30-0103</t>
  </si>
  <si>
    <t>TQT-R3-V30-0104</t>
  </si>
  <si>
    <t>TQT-R3-V30-0105</t>
  </si>
  <si>
    <t>TQT-R3-V30-0106</t>
  </si>
  <si>
    <t>TQT-R3-V30-0107</t>
  </si>
  <si>
    <t>TQT-R3-V30-0108</t>
  </si>
  <si>
    <t>TQT-R3-V30-0109</t>
  </si>
  <si>
    <t>TQT-R3-V30-0111</t>
  </si>
  <si>
    <t>TQT-R3-V30-0112</t>
  </si>
  <si>
    <t>Botón R3</t>
  </si>
  <si>
    <t>R3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</si>
</sst>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>
    <font>
      <sz val="11"/>
      <name val="Carlito"/>
    </font>
    <font>
      <b/>
      <sz val="10"/>
      <color rgb="FFFFFFFF"/>
      <name val="Carlito"/>
    </font>
    <font>
      <b/>
      <sz val="15"/>
      <color rgb="FFFFFFFF"/>
      <name val="Carlito"/>
    </font>
    <font>
      <b/>
      <sz val="13"/>
      <color rgb="FFFFFFFF"/>
      <name val="Carlito"/>
    </font>
    <font>
      <sz val="10"/>
      <color rgb="FF1F2937"/>
      <name val="Carlito"/>
    </font>
    <font>
      <b/>
      <sz val="10"/>
      <color rgb="FF17365D"/>
      <name val="Carlito"/>
    </font>
    <font>
      <sz val="8"/>
      <color rgb="FFFFFFFF"/>
      <name val="Carlito"/>
    </font>
    <font>
      <b/>
      <sz val="9"/>
      <color rgb="FFFFFFFF"/>
      <name val="Carlito"/>
    </font>
    <font>
      <sz val="9"/>
      <color rgb="FF1F2937"/>
      <name val="Carlito"/>
    </font>
    <font>
      <sz val="8"/>
      <color rgb="FF6B7280"/>
      <name val="Carlito"/>
    </font>
    <font>
      <b/>
      <sz val="10"/>
      <color rgb="FF1F2937"/>
      <name val="Carlito"/>
    </font>
    <font>
      <b/>
      <sz val="15"/>
      <color rgb="FF111827"/>
      <name val="Carlito"/>
    </font>
    <font>
      <b/>
      <sz val="9"/>
      <color rgb="FF6B7280"/>
      <name val="Carlito"/>
    </font>
    <font>
      <b/>
      <sz val="11"/>
      <color rgb="FFFFFFFF"/>
      <name val="Carlito"/>
    </font>
    <font>
      <b/>
      <sz val="9"/>
      <color rgb="FF17365D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3F8FC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7" fillId="5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/>
    <xf numFmtId="0" fontId="1" fillId="7" borderId="3" xfId="0" applyNumberFormat="1" applyFont="1" applyFill="1" applyBorder="1" applyAlignment="1">
      <alignment horizontal="center" vertical="center" wrapText="1"/>
    </xf>
    <xf numFmtId="0" fontId="1" fillId="7" borderId="2" xfId="0" applyNumberFormat="1" applyFont="1" applyFill="1" applyBorder="1" applyAlignment="1">
      <alignment horizontal="center" vertical="center" wrapText="1"/>
    </xf>
    <xf numFmtId="0" fontId="0" fillId="7" borderId="1" xfId="0" applyNumberFormat="1" applyFont="1" applyFill="1" applyBorder="1"/>
    <xf numFmtId="0" fontId="6" fillId="0" borderId="2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1" fillId="7" borderId="1" xfId="0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0" fontId="0" fillId="7" borderId="1" xfId="0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vertical="center"/>
    </xf>
    <xf numFmtId="0" fontId="8" fillId="2" borderId="1" xfId="0" applyNumberFormat="1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vertical="center"/>
    </xf>
    <xf numFmtId="14" fontId="8" fillId="0" borderId="1" xfId="0" applyNumberFormat="1" applyFont="1" applyFill="1" applyBorder="1" applyAlignment="1">
      <alignment vertical="center"/>
    </xf>
    <xf numFmtId="0" fontId="2" fillId="7" borderId="1" xfId="0" applyNumberFormat="1" applyFont="1" applyFill="1" applyBorder="1" applyAlignment="1">
      <alignment horizontal="left" vertical="center" wrapText="1"/>
    </xf>
    <xf numFmtId="0" fontId="10" fillId="7" borderId="1" xfId="0" applyNumberFormat="1" applyFont="1" applyFill="1" applyBorder="1" applyAlignment="1">
      <alignment horizontal="left" vertical="center" wrapText="1"/>
    </xf>
    <xf numFmtId="0" fontId="4" fillId="7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0" fontId="5" fillId="6" borderId="1" xfId="0" applyNumberFormat="1" applyFont="1" applyFill="1" applyBorder="1" applyAlignment="1">
      <alignment vertical="center" wrapText="1"/>
    </xf>
    <xf numFmtId="0" fontId="10" fillId="0" borderId="1" xfId="0" applyNumberFormat="1" applyFont="1" applyFill="1" applyBorder="1" applyAlignment="1">
      <alignment vertical="center" wrapText="1"/>
    </xf>
    <xf numFmtId="0" fontId="10" fillId="3" borderId="1" xfId="0" applyNumberFormat="1" applyFont="1" applyFill="1" applyBorder="1" applyAlignment="1">
      <alignment vertical="center" wrapText="1"/>
    </xf>
    <xf numFmtId="0" fontId="5" fillId="6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vertical="center"/>
    </xf>
    <xf numFmtId="0" fontId="8" fillId="0" borderId="1" xfId="0" applyNumberFormat="1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0" fontId="3" fillId="7" borderId="1" xfId="0" applyNumberFormat="1" applyFont="1" applyFill="1" applyBorder="1" applyAlignment="1">
      <alignment vertical="center" wrapText="1"/>
    </xf>
    <xf numFmtId="0" fontId="0" fillId="7" borderId="1" xfId="0" applyNumberFormat="1" applyFont="1" applyFill="1" applyBorder="1" applyAlignment="1">
      <alignment vertical="center" wrapText="1"/>
    </xf>
    <xf numFmtId="0" fontId="4" fillId="8" borderId="1" xfId="0" applyNumberFormat="1" applyFont="1" applyFill="1" applyBorder="1" applyAlignment="1">
      <alignment vertical="center"/>
    </xf>
    <xf numFmtId="49" fontId="4" fillId="8" borderId="1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7" fillId="5" borderId="4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vertical="center"/>
    </xf>
    <xf numFmtId="0" fontId="8" fillId="0" borderId="4" xfId="0" applyNumberFormat="1" applyFont="1" applyFill="1" applyBorder="1" applyAlignment="1">
      <alignment vertical="center"/>
    </xf>
    <xf numFmtId="49" fontId="8" fillId="8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4" fillId="0" borderId="0" xfId="0" applyNumberFormat="1" applyFont="1" applyAlignment="1">
      <alignment horizontal="center"/>
    </xf>
    <xf numFmtId="49" fontId="4" fillId="8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04"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ont>
        <color rgb="FFB3261E"/>
      </font>
      <fill>
        <patternFill patternType="solid">
          <fgColor indexed="64"/>
          <bgColor rgb="FFFCE8E6"/>
        </patternFill>
      </fill>
    </dxf>
    <dxf>
      <font>
        <color rgb="FFB3261E"/>
      </font>
      <fill>
        <patternFill patternType="solid">
          <fgColor indexed="64"/>
          <bgColor rgb="FFFCE8E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ont>
        <b/>
        <i val="0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CE8E6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8E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CE8E6"/>
        </patternFill>
      </fill>
    </dxf>
    <dxf>
      <fill>
        <patternFill>
          <bgColor rgb="FFE2F0D9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2F2F2"/>
        </patternFill>
      </fill>
    </dxf>
    <dxf>
      <font>
        <b/>
        <i val="0"/>
      </font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ill>
        <patternFill>
          <bgColor rgb="FFF7F9FC"/>
        </patternFill>
      </fill>
    </dxf>
    <dxf>
      <fill>
        <patternFill>
          <bgColor rgb="FFFCE8E6"/>
        </patternFill>
      </fill>
    </dxf>
    <dxf>
      <fill>
        <patternFill>
          <bgColor rgb="FFF2F2F2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FCE8E6"/>
        </patternFill>
      </fill>
    </dxf>
    <dxf>
      <fill>
        <patternFill>
          <bgColor rgb="FFE2F0D9"/>
        </patternFill>
      </fill>
    </dxf>
    <dxf>
      <fill>
        <patternFill>
          <bgColor rgb="FFFCE8E6"/>
        </patternFill>
      </fill>
    </dxf>
    <dxf>
      <fill>
        <patternFill>
          <bgColor rgb="FFE2F0D9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E2F0D9"/>
        </patternFill>
      </fill>
    </dxf>
    <dxf>
      <fill>
        <patternFill>
          <bgColor rgb="FFF7F9FC"/>
        </patternFill>
      </fill>
    </dxf>
    <dxf>
      <fill>
        <patternFill>
          <bgColor rgb="FFF7F9F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8E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B3261E"/>
      </font>
      <fill>
        <patternFill patternType="solid">
          <fgColor indexed="64"/>
          <bgColor rgb="FFFCE8E6"/>
        </patternFill>
      </fill>
    </dxf>
    <dxf>
      <font>
        <color rgb="FF1F2937"/>
      </font>
      <fill>
        <patternFill patternType="solid">
          <fgColor indexed="64"/>
          <bgColor rgb="FFFCE8E6"/>
        </patternFill>
      </fill>
    </dxf>
    <dxf>
      <font>
        <color rgb="FFB3261E"/>
      </font>
      <fill>
        <patternFill patternType="solid">
          <fgColor indexed="64"/>
          <bgColor rgb="FFFCE8E6"/>
        </patternFill>
      </fill>
    </dxf>
    <dxf>
      <font>
        <color rgb="FF1F2937"/>
      </font>
      <fill>
        <patternFill patternType="solid">
          <fgColor indexed="64"/>
          <bgColor rgb="FFFCE8E6"/>
        </patternFill>
      </fill>
    </dxf>
    <dxf>
      <fill>
        <patternFill patternType="solid">
          <fgColor indexed="64"/>
          <bgColor rgb="FFF7F9FC"/>
        </patternFill>
      </fill>
    </dxf>
    <dxf>
      <font>
        <color rgb="FFB3261E"/>
      </font>
      <fill>
        <patternFill>
          <bgColor rgb="FFFCE8E6"/>
        </patternFill>
      </fill>
    </dxf>
    <dxf>
      <font>
        <color rgb="FF1F2937"/>
      </font>
      <fill>
        <patternFill>
          <bgColor rgb="FFFCE8E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1F2937"/>
      </font>
      <fill>
        <patternFill>
          <bgColor rgb="FFFCE8E6"/>
        </patternFill>
      </fill>
    </dxf>
    <dxf>
      <fill>
        <patternFill>
          <bgColor rgb="FFF7F9FC"/>
        </patternFill>
      </fill>
    </dxf>
    <dxf>
      <fill>
        <patternFill>
          <bgColor rgb="FFF7F9FC"/>
        </patternFill>
      </fill>
    </dxf>
    <dxf>
      <fill>
        <patternFill>
          <bgColor rgb="FFFFF2CC"/>
        </patternFill>
      </fill>
    </dxf>
    <dxf>
      <font>
        <color rgb="FFB3261E"/>
      </font>
      <fill>
        <patternFill>
          <bgColor rgb="FFFCE8E6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cionTQT" displayName="ProduccionTQT" ref="A1:K101" totalsRowShown="0">
  <tableColumns count="11">
    <tableColumn id="1" xr3:uid="{00000000-0010-0000-0000-000001000000}" name="ID Tarjeta"/>
    <tableColumn id="2" xr3:uid="{00000000-0010-0000-0000-000002000000}" name="Nombre Tarjeta" dataDxfId="103">
      <calculatedColumnFormula>IF(A2="","","TQT-R1-V30-"&amp;TEXT(VALUE(A2),"0000"))</calculatedColumnFormula>
    </tableColumn>
    <tableColumn id="3" xr3:uid="{00000000-0010-0000-0000-000003000000}" name="MAC Address (AUTO)" dataDxfId="102">
      <calculatedColumnFormula>IF(B2="","",IFERROR(INDEX('Catálogo PCB'!$B$3:$B$102,MATCH(B2,'Catálogo PCB'!$A$3:$A$102,0))&amp;"",""))</calculatedColumnFormula>
    </tableColumn>
    <tableColumn id="4" xr3:uid="{00000000-0010-0000-0000-000004000000}" name="Firmware PCB Principal"/>
    <tableColumn id="5" xr3:uid="{00000000-0010-0000-0000-000005000000}" name="Nombre Tarjeta Respaldo"/>
    <tableColumn id="6" xr3:uid="{00000000-0010-0000-0000-000006000000}" name="MAC Address Respaldo (AUTO)" dataDxfId="101">
      <calculatedColumnFormula>IF(E2="","",IFERROR(INDEX('Catálogo PCB'!$G$3:$G$102,MATCH(E2,'Catálogo PCB'!$F$3:$F$102,0))&amp;"",""))</calculatedColumnFormula>
    </tableColumn>
    <tableColumn id="7" xr3:uid="{00000000-0010-0000-0000-000007000000}" name="Firmware PCB Respaldo"/>
    <tableColumn id="11" xr3:uid="{5D6E9EF1-2118-4C6B-AB91-B96D009AC217}" name="Botón R3" dataDxfId="19"/>
    <tableColumn id="8" xr3:uid="{00000000-0010-0000-0000-000008000000}" name="Semana Producción"/>
    <tableColumn id="9" xr3:uid="{00000000-0010-0000-0000-000009000000}" name="Fecha Proyectada Entrega"/>
    <tableColumn id="10" xr3:uid="{00000000-0010-0000-0000-00000A000000}" name="Fecha Real Entreg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uebasTQT" displayName="PruebasTQT" ref="A1:G101" totalsRowShown="0">
  <tableColumns count="7">
    <tableColumn id="1" xr3:uid="{00000000-0010-0000-0100-000001000000}" name="ID Tarjeta"/>
    <tableColumn id="2" xr3:uid="{00000000-0010-0000-0100-000002000000}" name="Soldadura"/>
    <tableColumn id="3" xr3:uid="{00000000-0010-0000-0100-000003000000}" name="Programación"/>
    <tableColumn id="4" xr3:uid="{00000000-0010-0000-0100-000004000000}" name="Prueba PCB"/>
    <tableColumn id="5" xr3:uid="{00000000-0010-0000-0100-000005000000}" name="Integración"/>
    <tableColumn id="6" xr3:uid="{00000000-0010-0000-0100-000006000000}" name="Prueba Final"/>
    <tableColumn id="7" xr3:uid="{00000000-0010-0000-0100-000007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5A7D53-72E2-4B69-A644-E206596F7F9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543633c-0e29-4fb6-b874-c731815a82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workbookViewId="0">
      <selection activeCell="H2" sqref="H2"/>
    </sheetView>
  </sheetViews>
  <sheetFormatPr baseColWidth="10" defaultColWidth="8.69921875" defaultRowHeight="13.8"/>
  <cols>
    <col min="1" max="1" width="11" customWidth="1"/>
    <col min="2" max="2" width="20" customWidth="1"/>
    <col min="3" max="3" width="22" customWidth="1"/>
    <col min="4" max="4" width="18" customWidth="1"/>
    <col min="5" max="5" width="21" customWidth="1"/>
    <col min="6" max="6" width="22" customWidth="1"/>
    <col min="7" max="7" width="18" customWidth="1"/>
    <col min="8" max="8" width="21" customWidth="1"/>
    <col min="9" max="9" width="17" customWidth="1"/>
    <col min="10" max="10" width="18" customWidth="1"/>
    <col min="11" max="11" width="17" customWidth="1"/>
    <col min="12" max="12" width="15" customWidth="1"/>
    <col min="13" max="14" width="3" customWidth="1"/>
    <col min="15" max="15" width="32.09765625" bestFit="1" customWidth="1"/>
    <col min="17" max="17" width="60.59765625" bestFit="1" customWidth="1"/>
  </cols>
  <sheetData>
    <row r="1" spans="1:17" ht="30.45" customHeight="1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4" t="s">
        <v>6</v>
      </c>
      <c r="H1" s="14" t="s">
        <v>581</v>
      </c>
      <c r="I1" s="3" t="s">
        <v>7</v>
      </c>
      <c r="J1" s="3" t="s">
        <v>8</v>
      </c>
      <c r="K1" s="3" t="s">
        <v>9</v>
      </c>
      <c r="L1" s="3" t="s">
        <v>10</v>
      </c>
      <c r="M1" s="15"/>
      <c r="N1" s="11" t="s">
        <v>11</v>
      </c>
      <c r="O1" s="4" t="s">
        <v>255</v>
      </c>
      <c r="Q1" s="62" t="s">
        <v>479</v>
      </c>
    </row>
    <row r="2" spans="1:17" ht="17.7" customHeight="1">
      <c r="A2" s="16" t="s">
        <v>26</v>
      </c>
      <c r="B2" s="17" t="str">
        <f t="shared" ref="B2:B65" si="0">IF(A2="","","TQT-R1-V30-"&amp;TEXT(VALUE(A2),"0000"))</f>
        <v>TQT-R1-V30-0011</v>
      </c>
      <c r="C2" s="17" t="str">
        <f>IF(B2="","",IFERROR(INDEX('Catálogo PCB'!$B$3:$B$102,MATCH(B2,'Catálogo PCB'!$A$3:$A$102,0))&amp;"",""))</f>
        <v/>
      </c>
      <c r="D2" s="19"/>
      <c r="E2" s="17" t="s">
        <v>375</v>
      </c>
      <c r="F2" s="17" t="str">
        <f>IF(E2="","",IFERROR(INDEX('Catálogo PCB'!$G$3:$G$102,MATCH(E2,'Catálogo PCB'!$F$3:$F$102,0))&amp;"",""))</f>
        <v/>
      </c>
      <c r="G2" s="19"/>
      <c r="H2" s="18"/>
      <c r="I2" s="7"/>
      <c r="J2" s="8"/>
      <c r="K2" s="9"/>
      <c r="L2" s="10"/>
      <c r="M2" s="20"/>
      <c r="N2" s="6" t="s">
        <v>13</v>
      </c>
      <c r="O2" s="67" t="s">
        <v>12</v>
      </c>
      <c r="P2" s="68" t="s">
        <v>475</v>
      </c>
      <c r="Q2" s="69" t="s">
        <v>12</v>
      </c>
    </row>
    <row r="3" spans="1:17" ht="17.7" customHeight="1">
      <c r="A3" s="16" t="s">
        <v>28</v>
      </c>
      <c r="B3" s="17" t="str">
        <f t="shared" si="0"/>
        <v>TQT-R1-V30-0012</v>
      </c>
      <c r="C3" s="17" t="str">
        <f>IF(B3="","",IFERROR(INDEX('Catálogo PCB'!$B$3:$B$102,MATCH(B3,'Catálogo PCB'!$A$3:$A$102,0))&amp;"",""))</f>
        <v/>
      </c>
      <c r="D3" s="19"/>
      <c r="E3" s="60" t="s">
        <v>376</v>
      </c>
      <c r="F3" s="60" t="str">
        <f>IF(E3="","",IFERROR(INDEX('Catálogo PCB'!$G$3:$G$102,MATCH(E3,'Catálogo PCB'!$F$3:$F$102,0))&amp;"",""))</f>
        <v/>
      </c>
      <c r="G3" s="19"/>
      <c r="H3" s="70"/>
      <c r="I3" s="7"/>
      <c r="J3" s="8"/>
      <c r="K3" s="9"/>
      <c r="L3" s="10"/>
      <c r="M3" s="20"/>
      <c r="N3" s="6" t="s">
        <v>14</v>
      </c>
      <c r="O3" s="67" t="s">
        <v>15</v>
      </c>
      <c r="P3" s="68" t="s">
        <v>475</v>
      </c>
      <c r="Q3" s="69" t="s">
        <v>476</v>
      </c>
    </row>
    <row r="4" spans="1:17" ht="17.7" customHeight="1">
      <c r="A4" s="16" t="s">
        <v>30</v>
      </c>
      <c r="B4" s="17" t="str">
        <f t="shared" si="0"/>
        <v>TQT-R1-V30-0013</v>
      </c>
      <c r="C4" s="17" t="str">
        <f>IF(B4="","",IFERROR(INDEX('Catálogo PCB'!$B$3:$B$102,MATCH(B4,'Catálogo PCB'!$A$3:$A$102,0))&amp;"",""))</f>
        <v/>
      </c>
      <c r="D4" s="19"/>
      <c r="E4" s="17" t="s">
        <v>377</v>
      </c>
      <c r="F4" s="17" t="str">
        <f>IF(E4="","",IFERROR(INDEX('Catálogo PCB'!$G$3:$G$102,MATCH(E4,'Catálogo PCB'!$F$3:$F$102,0))&amp;"",""))</f>
        <v/>
      </c>
      <c r="G4" s="19"/>
      <c r="H4" s="18"/>
      <c r="I4" s="7"/>
      <c r="J4" s="8"/>
      <c r="K4" s="9"/>
      <c r="L4" s="10"/>
      <c r="M4" s="20"/>
      <c r="N4" s="6" t="s">
        <v>16</v>
      </c>
      <c r="O4" s="67" t="s">
        <v>17</v>
      </c>
      <c r="P4" s="68" t="s">
        <v>475</v>
      </c>
      <c r="Q4" s="68" t="s">
        <v>475</v>
      </c>
    </row>
    <row r="5" spans="1:17" ht="17.7" customHeight="1">
      <c r="A5" s="16" t="s">
        <v>32</v>
      </c>
      <c r="B5" s="17" t="str">
        <f t="shared" si="0"/>
        <v>TQT-R1-V30-0014</v>
      </c>
      <c r="C5" s="17" t="str">
        <f>IF(B5="","",IFERROR(INDEX('Catálogo PCB'!$B$3:$B$102,MATCH(B5,'Catálogo PCB'!$A$3:$A$102,0))&amp;"",""))</f>
        <v/>
      </c>
      <c r="D5" s="19"/>
      <c r="E5" s="17" t="s">
        <v>378</v>
      </c>
      <c r="F5" s="17" t="str">
        <f>IF(E5="","",IFERROR(INDEX('Catálogo PCB'!$G$3:$G$102,MATCH(E5,'Catálogo PCB'!$F$3:$F$102,0))&amp;"",""))</f>
        <v/>
      </c>
      <c r="G5" s="19"/>
      <c r="H5" s="18"/>
      <c r="I5" s="7"/>
      <c r="J5" s="8"/>
      <c r="K5" s="9"/>
      <c r="L5" s="10"/>
      <c r="M5" s="20"/>
      <c r="N5" s="6" t="s">
        <v>18</v>
      </c>
      <c r="O5" s="67" t="s">
        <v>19</v>
      </c>
      <c r="P5" s="68" t="s">
        <v>475</v>
      </c>
      <c r="Q5" s="68" t="s">
        <v>475</v>
      </c>
    </row>
    <row r="6" spans="1:17" ht="17.7" customHeight="1">
      <c r="A6" s="16" t="s">
        <v>34</v>
      </c>
      <c r="B6" s="17" t="str">
        <f t="shared" si="0"/>
        <v>TQT-R1-V30-0015</v>
      </c>
      <c r="C6" s="17" t="str">
        <f>IF(B6="","",IFERROR(INDEX('Catálogo PCB'!$B$3:$B$102,MATCH(B6,'Catálogo PCB'!$A$3:$A$102,0))&amp;"",""))</f>
        <v/>
      </c>
      <c r="D6" s="19"/>
      <c r="E6" s="17" t="s">
        <v>379</v>
      </c>
      <c r="F6" s="17" t="str">
        <f>IF(E6="","",IFERROR(INDEX('Catálogo PCB'!$G$3:$G$102,MATCH(E6,'Catálogo PCB'!$F$3:$F$102,0))&amp;"",""))</f>
        <v/>
      </c>
      <c r="G6" s="19"/>
      <c r="H6" s="18"/>
      <c r="I6" s="7"/>
      <c r="J6" s="8"/>
      <c r="K6" s="9"/>
      <c r="L6" s="10"/>
      <c r="M6" s="20"/>
      <c r="N6" s="6" t="s">
        <v>20</v>
      </c>
      <c r="O6" s="67" t="s">
        <v>477</v>
      </c>
      <c r="P6" s="68" t="s">
        <v>475</v>
      </c>
      <c r="Q6" s="68" t="s">
        <v>475</v>
      </c>
    </row>
    <row r="7" spans="1:17" ht="17.7" customHeight="1">
      <c r="A7" s="16" t="s">
        <v>36</v>
      </c>
      <c r="B7" s="17" t="str">
        <f t="shared" si="0"/>
        <v>TQT-R1-V30-0016</v>
      </c>
      <c r="C7" s="17" t="str">
        <f>IF(B7="","",IFERROR(INDEX('Catálogo PCB'!$B$3:$B$102,MATCH(B7,'Catálogo PCB'!$A$3:$A$102,0))&amp;"",""))</f>
        <v/>
      </c>
      <c r="D7" s="19"/>
      <c r="E7" s="17" t="s">
        <v>380</v>
      </c>
      <c r="F7" s="17" t="str">
        <f>IF(E7="","",IFERROR(INDEX('Catálogo PCB'!$G$3:$G$102,MATCH(E7,'Catálogo PCB'!$F$3:$F$102,0))&amp;"",""))</f>
        <v/>
      </c>
      <c r="G7" s="19"/>
      <c r="H7" s="18"/>
      <c r="I7" s="7"/>
      <c r="J7" s="8"/>
      <c r="K7" s="9"/>
      <c r="L7" s="10"/>
      <c r="M7" s="20"/>
      <c r="N7" s="6" t="s">
        <v>21</v>
      </c>
      <c r="O7" s="67" t="s">
        <v>478</v>
      </c>
      <c r="P7" s="68" t="s">
        <v>475</v>
      </c>
      <c r="Q7" s="68" t="s">
        <v>475</v>
      </c>
    </row>
    <row r="8" spans="1:17" ht="17.7" customHeight="1">
      <c r="A8" s="16" t="s">
        <v>38</v>
      </c>
      <c r="B8" s="17" t="str">
        <f t="shared" si="0"/>
        <v>TQT-R1-V30-0017</v>
      </c>
      <c r="C8" s="17" t="str">
        <f>IF(B8="","",IFERROR(INDEX('Catálogo PCB'!$B$3:$B$102,MATCH(B8,'Catálogo PCB'!$A$3:$A$102,0))&amp;"",""))</f>
        <v/>
      </c>
      <c r="D8" s="19"/>
      <c r="E8" s="17" t="s">
        <v>381</v>
      </c>
      <c r="F8" s="17" t="str">
        <f>IF(E8="","",IFERROR(INDEX('Catálogo PCB'!$G$3:$G$102,MATCH(E8,'Catálogo PCB'!$F$3:$F$102,0))&amp;"",""))</f>
        <v/>
      </c>
      <c r="G8" s="19"/>
      <c r="H8" s="18"/>
      <c r="I8" s="7"/>
      <c r="J8" s="8"/>
      <c r="K8" s="9"/>
      <c r="L8" s="10"/>
      <c r="M8" s="20"/>
      <c r="N8" s="6" t="s">
        <v>22</v>
      </c>
      <c r="O8" s="67" t="s">
        <v>475</v>
      </c>
      <c r="P8" s="68" t="s">
        <v>475</v>
      </c>
      <c r="Q8" s="68" t="s">
        <v>475</v>
      </c>
    </row>
    <row r="9" spans="1:17" ht="17.7" customHeight="1">
      <c r="A9" s="16" t="s">
        <v>42</v>
      </c>
      <c r="B9" s="17" t="str">
        <f t="shared" si="0"/>
        <v>TQT-R1-V30-0019</v>
      </c>
      <c r="C9" s="17" t="str">
        <f>IF(B9="","",IFERROR(INDEX('Catálogo PCB'!$B$3:$B$102,MATCH(B9,'Catálogo PCB'!$A$3:$A$102,0))&amp;"",""))</f>
        <v/>
      </c>
      <c r="D9" s="19"/>
      <c r="E9" s="17" t="s">
        <v>382</v>
      </c>
      <c r="F9" s="17" t="str">
        <f>IF(E9="","",IFERROR(INDEX('Catálogo PCB'!$G$3:$G$102,MATCH(E9,'Catálogo PCB'!$F$3:$F$102,0))&amp;"",""))</f>
        <v/>
      </c>
      <c r="G9" s="19"/>
      <c r="H9" s="18"/>
      <c r="I9" s="7"/>
      <c r="J9" s="8"/>
      <c r="K9" s="9"/>
      <c r="L9" s="10"/>
      <c r="M9" s="20"/>
      <c r="N9" s="6" t="s">
        <v>23</v>
      </c>
      <c r="O9" s="67" t="s">
        <v>475</v>
      </c>
      <c r="P9" s="68" t="s">
        <v>475</v>
      </c>
      <c r="Q9" s="68" t="s">
        <v>475</v>
      </c>
    </row>
    <row r="10" spans="1:17" ht="17.7" customHeight="1">
      <c r="A10" s="16" t="s">
        <v>44</v>
      </c>
      <c r="B10" s="17" t="str">
        <f t="shared" si="0"/>
        <v>TQT-R1-V30-0020</v>
      </c>
      <c r="C10" s="17" t="str">
        <f>IF(B10="","",IFERROR(INDEX('Catálogo PCB'!$B$3:$B$102,MATCH(B10,'Catálogo PCB'!$A$3:$A$102,0))&amp;"",""))</f>
        <v/>
      </c>
      <c r="D10" s="19"/>
      <c r="E10" s="17" t="s">
        <v>383</v>
      </c>
      <c r="F10" s="17" t="str">
        <f>IF(E10="","",IFERROR(INDEX('Catálogo PCB'!$G$3:$G$102,MATCH(E10,'Catálogo PCB'!$F$3:$F$102,0))&amp;"",""))</f>
        <v/>
      </c>
      <c r="G10" s="19"/>
      <c r="H10" s="18"/>
      <c r="I10" s="7"/>
      <c r="J10" s="8"/>
      <c r="K10" s="9"/>
      <c r="L10" s="10"/>
      <c r="M10" s="20"/>
      <c r="N10" s="6" t="s">
        <v>24</v>
      </c>
      <c r="O10" s="67" t="s">
        <v>475</v>
      </c>
      <c r="P10" s="68" t="s">
        <v>475</v>
      </c>
      <c r="Q10" s="68" t="s">
        <v>475</v>
      </c>
    </row>
    <row r="11" spans="1:17" ht="17.7" customHeight="1">
      <c r="A11" s="16" t="s">
        <v>46</v>
      </c>
      <c r="B11" s="17" t="str">
        <f t="shared" si="0"/>
        <v>TQT-R1-V30-0021</v>
      </c>
      <c r="C11" s="60" t="str">
        <f>IF(B11="","",IFERROR(INDEX('Catálogo PCB'!$B$3:$B$102,MATCH(B11,'Catálogo PCB'!$A$3:$A$102,0))&amp;"",""))</f>
        <v/>
      </c>
      <c r="D11" s="61"/>
      <c r="E11" s="60" t="s">
        <v>384</v>
      </c>
      <c r="F11" s="60" t="str">
        <f>IF(E11="","",IFERROR(INDEX('Catálogo PCB'!$G$3:$G$102,MATCH(E11,'Catálogo PCB'!$F$3:$F$102,0))&amp;"",""))</f>
        <v/>
      </c>
      <c r="G11" s="19"/>
      <c r="H11" s="70"/>
      <c r="I11" s="7"/>
      <c r="J11" s="8"/>
      <c r="K11" s="9"/>
      <c r="L11" s="10"/>
      <c r="M11" s="20"/>
      <c r="N11" s="6" t="s">
        <v>25</v>
      </c>
      <c r="O11" s="67" t="s">
        <v>475</v>
      </c>
      <c r="P11" s="68" t="s">
        <v>475</v>
      </c>
      <c r="Q11" s="68" t="s">
        <v>475</v>
      </c>
    </row>
    <row r="12" spans="1:17" ht="17.7" customHeight="1">
      <c r="A12" s="16" t="s">
        <v>48</v>
      </c>
      <c r="B12" s="17" t="str">
        <f t="shared" si="0"/>
        <v>TQT-R1-V30-0022</v>
      </c>
      <c r="C12" s="17" t="str">
        <f>IF(B12="","",IFERROR(INDEX('Catálogo PCB'!$B$3:$B$102,MATCH(B12,'Catálogo PCB'!$A$3:$A$102,0))&amp;"",""))</f>
        <v/>
      </c>
      <c r="D12" s="19"/>
      <c r="E12" s="17" t="s">
        <v>385</v>
      </c>
      <c r="F12" s="17" t="str">
        <f>IF(E12="","",IFERROR(INDEX('Catálogo PCB'!$G$3:$G$102,MATCH(E12,'Catálogo PCB'!$F$3:$F$102,0))&amp;"",""))</f>
        <v/>
      </c>
      <c r="G12" s="19"/>
      <c r="H12" s="18"/>
      <c r="I12" s="7"/>
      <c r="J12" s="8"/>
      <c r="K12" s="9"/>
      <c r="L12" s="10"/>
      <c r="M12" s="20"/>
      <c r="N12" s="6" t="s">
        <v>27</v>
      </c>
      <c r="O12" s="67" t="s">
        <v>475</v>
      </c>
      <c r="P12" s="68" t="s">
        <v>475</v>
      </c>
      <c r="Q12" s="68" t="s">
        <v>475</v>
      </c>
    </row>
    <row r="13" spans="1:17" ht="17.7" customHeight="1">
      <c r="A13" s="16" t="s">
        <v>50</v>
      </c>
      <c r="B13" s="17" t="str">
        <f t="shared" si="0"/>
        <v>TQT-R1-V30-0023</v>
      </c>
      <c r="C13" s="17" t="str">
        <f>IF(B13="","",IFERROR(INDEX('Catálogo PCB'!$B$3:$B$102,MATCH(B13,'Catálogo PCB'!$A$3:$A$102,0))&amp;"",""))</f>
        <v/>
      </c>
      <c r="D13" s="19"/>
      <c r="E13" s="17" t="s">
        <v>386</v>
      </c>
      <c r="F13" s="17" t="str">
        <f>IF(E13="","",IFERROR(INDEX('Catálogo PCB'!$G$3:$G$102,MATCH(E13,'Catálogo PCB'!$F$3:$F$102,0))&amp;"",""))</f>
        <v/>
      </c>
      <c r="G13" s="19"/>
      <c r="H13" s="18"/>
      <c r="I13" s="7"/>
      <c r="J13" s="8"/>
      <c r="K13" s="9"/>
      <c r="L13" s="10"/>
      <c r="M13" s="20"/>
      <c r="N13" s="6" t="s">
        <v>29</v>
      </c>
      <c r="O13" s="67" t="s">
        <v>475</v>
      </c>
      <c r="P13" s="68" t="s">
        <v>475</v>
      </c>
      <c r="Q13" s="68" t="s">
        <v>475</v>
      </c>
    </row>
    <row r="14" spans="1:17" ht="17.7" customHeight="1">
      <c r="A14" s="16" t="s">
        <v>52</v>
      </c>
      <c r="B14" s="17" t="str">
        <f t="shared" si="0"/>
        <v>TQT-R1-V30-0024</v>
      </c>
      <c r="C14" s="17" t="str">
        <f>IF(B14="","",IFERROR(INDEX('Catálogo PCB'!$B$3:$B$102,MATCH(B14,'Catálogo PCB'!$A$3:$A$102,0))&amp;"",""))</f>
        <v/>
      </c>
      <c r="D14" s="19"/>
      <c r="E14" s="17" t="s">
        <v>387</v>
      </c>
      <c r="F14" s="17" t="str">
        <f>IF(E14="","",IFERROR(INDEX('Catálogo PCB'!$G$3:$G$102,MATCH(E14,'Catálogo PCB'!$F$3:$F$102,0))&amp;"",""))</f>
        <v/>
      </c>
      <c r="G14" s="19"/>
      <c r="H14" s="18"/>
      <c r="I14" s="7"/>
      <c r="J14" s="8"/>
      <c r="K14" s="9"/>
      <c r="L14" s="10"/>
      <c r="M14" s="20"/>
      <c r="N14" s="6" t="s">
        <v>31</v>
      </c>
      <c r="O14" s="67" t="s">
        <v>475</v>
      </c>
      <c r="P14" s="68" t="s">
        <v>475</v>
      </c>
      <c r="Q14" s="68" t="s">
        <v>475</v>
      </c>
    </row>
    <row r="15" spans="1:17" ht="17.7" customHeight="1">
      <c r="A15" s="16" t="s">
        <v>54</v>
      </c>
      <c r="B15" s="17" t="str">
        <f t="shared" si="0"/>
        <v>TQT-R1-V30-0025</v>
      </c>
      <c r="C15" s="17" t="str">
        <f>IF(B15="","",IFERROR(INDEX('Catálogo PCB'!$B$3:$B$102,MATCH(B15,'Catálogo PCB'!$A$3:$A$102,0))&amp;"",""))</f>
        <v/>
      </c>
      <c r="D15" s="19"/>
      <c r="E15" s="17" t="s">
        <v>388</v>
      </c>
      <c r="F15" s="17" t="str">
        <f>IF(E15="","",IFERROR(INDEX('Catálogo PCB'!$G$3:$G$102,MATCH(E15,'Catálogo PCB'!$F$3:$F$102,0))&amp;"",""))</f>
        <v/>
      </c>
      <c r="G15" s="19"/>
      <c r="H15" s="18"/>
      <c r="I15" s="7"/>
      <c r="J15" s="8"/>
      <c r="K15" s="9"/>
      <c r="L15" s="10"/>
      <c r="M15" s="20"/>
      <c r="N15" s="6" t="s">
        <v>33</v>
      </c>
      <c r="O15" s="67" t="s">
        <v>475</v>
      </c>
      <c r="P15" s="68" t="s">
        <v>475</v>
      </c>
      <c r="Q15" s="68" t="s">
        <v>475</v>
      </c>
    </row>
    <row r="16" spans="1:17" ht="17.7" customHeight="1">
      <c r="A16" s="16" t="s">
        <v>56</v>
      </c>
      <c r="B16" s="17" t="str">
        <f t="shared" si="0"/>
        <v>TQT-R1-V30-0026</v>
      </c>
      <c r="C16" s="17" t="str">
        <f>IF(B16="","",IFERROR(INDEX('Catálogo PCB'!$B$3:$B$102,MATCH(B16,'Catálogo PCB'!$A$3:$A$102,0))&amp;"",""))</f>
        <v/>
      </c>
      <c r="D16" s="19"/>
      <c r="E16" s="17" t="s">
        <v>389</v>
      </c>
      <c r="F16" s="17" t="str">
        <f>IF(E16="","",IFERROR(INDEX('Catálogo PCB'!$G$3:$G$102,MATCH(E16,'Catálogo PCB'!$F$3:$F$102,0))&amp;"",""))</f>
        <v/>
      </c>
      <c r="G16" s="19"/>
      <c r="H16" s="18"/>
      <c r="I16" s="7"/>
      <c r="J16" s="8"/>
      <c r="K16" s="9"/>
      <c r="L16" s="10"/>
      <c r="M16" s="20"/>
      <c r="N16" s="6" t="s">
        <v>35</v>
      </c>
      <c r="O16" s="67" t="s">
        <v>475</v>
      </c>
      <c r="P16" s="68" t="s">
        <v>475</v>
      </c>
      <c r="Q16" s="68" t="s">
        <v>475</v>
      </c>
    </row>
    <row r="17" spans="1:17" ht="17.7" customHeight="1">
      <c r="A17" s="16" t="s">
        <v>58</v>
      </c>
      <c r="B17" s="17" t="str">
        <f t="shared" si="0"/>
        <v>TQT-R1-V30-0027</v>
      </c>
      <c r="C17" s="17" t="str">
        <f>IF(B17="","",IFERROR(INDEX('Catálogo PCB'!$B$3:$B$102,MATCH(B17,'Catálogo PCB'!$A$3:$A$102,0))&amp;"",""))</f>
        <v/>
      </c>
      <c r="D17" s="19"/>
      <c r="E17" s="17" t="s">
        <v>390</v>
      </c>
      <c r="F17" s="17" t="str">
        <f>IF(E17="","",IFERROR(INDEX('Catálogo PCB'!$G$3:$G$102,MATCH(E17,'Catálogo PCB'!$F$3:$F$102,0))&amp;"",""))</f>
        <v/>
      </c>
      <c r="G17" s="19"/>
      <c r="H17" s="18"/>
      <c r="I17" s="7"/>
      <c r="J17" s="8"/>
      <c r="K17" s="9"/>
      <c r="L17" s="10"/>
      <c r="M17" s="20"/>
      <c r="N17" s="6" t="s">
        <v>37</v>
      </c>
      <c r="O17" s="67" t="s">
        <v>475</v>
      </c>
      <c r="P17" s="68" t="s">
        <v>475</v>
      </c>
      <c r="Q17" s="68" t="s">
        <v>475</v>
      </c>
    </row>
    <row r="18" spans="1:17" ht="17.7" customHeight="1">
      <c r="A18" s="16" t="s">
        <v>60</v>
      </c>
      <c r="B18" s="17" t="str">
        <f t="shared" si="0"/>
        <v>TQT-R1-V30-0028</v>
      </c>
      <c r="C18" s="17" t="str">
        <f>IF(B18="","",IFERROR(INDEX('Catálogo PCB'!$B$3:$B$102,MATCH(B18,'Catálogo PCB'!$A$3:$A$102,0))&amp;"",""))</f>
        <v/>
      </c>
      <c r="D18" s="19"/>
      <c r="E18" s="17" t="s">
        <v>391</v>
      </c>
      <c r="F18" s="17" t="str">
        <f>IF(E18="","",IFERROR(INDEX('Catálogo PCB'!$G$3:$G$102,MATCH(E18,'Catálogo PCB'!$F$3:$F$102,0))&amp;"",""))</f>
        <v/>
      </c>
      <c r="G18" s="19"/>
      <c r="H18" s="18"/>
      <c r="I18" s="7"/>
      <c r="J18" s="8"/>
      <c r="K18" s="9"/>
      <c r="L18" s="10"/>
      <c r="M18" s="20"/>
      <c r="N18" s="6" t="s">
        <v>39</v>
      </c>
      <c r="O18" s="67" t="s">
        <v>475</v>
      </c>
      <c r="P18" s="68" t="s">
        <v>475</v>
      </c>
      <c r="Q18" s="68" t="s">
        <v>475</v>
      </c>
    </row>
    <row r="19" spans="1:17" ht="17.7" customHeight="1">
      <c r="A19" s="16" t="s">
        <v>62</v>
      </c>
      <c r="B19" s="17" t="str">
        <f t="shared" si="0"/>
        <v>TQT-R1-V30-0029</v>
      </c>
      <c r="C19" s="17" t="str">
        <f>IF(B19="","",IFERROR(INDEX('Catálogo PCB'!$B$3:$B$102,MATCH(B19,'Catálogo PCB'!$A$3:$A$102,0))&amp;"",""))</f>
        <v/>
      </c>
      <c r="D19" s="19"/>
      <c r="E19" s="17" t="s">
        <v>392</v>
      </c>
      <c r="F19" s="17" t="str">
        <f>IF(E19="","",IFERROR(INDEX('Catálogo PCB'!$G$3:$G$102,MATCH(E19,'Catálogo PCB'!$F$3:$F$102,0))&amp;"",""))</f>
        <v/>
      </c>
      <c r="G19" s="19"/>
      <c r="H19" s="18"/>
      <c r="I19" s="7"/>
      <c r="J19" s="8"/>
      <c r="K19" s="9"/>
      <c r="L19" s="10"/>
      <c r="M19" s="20"/>
      <c r="N19" s="6" t="s">
        <v>41</v>
      </c>
      <c r="O19" s="67" t="s">
        <v>475</v>
      </c>
      <c r="P19" s="68" t="s">
        <v>475</v>
      </c>
      <c r="Q19" s="68" t="s">
        <v>475</v>
      </c>
    </row>
    <row r="20" spans="1:17" ht="17.7" customHeight="1">
      <c r="A20" s="16" t="s">
        <v>64</v>
      </c>
      <c r="B20" s="17" t="str">
        <f t="shared" si="0"/>
        <v>TQT-R1-V30-0030</v>
      </c>
      <c r="C20" s="17" t="str">
        <f>IF(B20="","",IFERROR(INDEX('Catálogo PCB'!$B$3:$B$102,MATCH(B20,'Catálogo PCB'!$A$3:$A$102,0))&amp;"",""))</f>
        <v/>
      </c>
      <c r="D20" s="19"/>
      <c r="E20" s="17" t="s">
        <v>393</v>
      </c>
      <c r="F20" s="17" t="str">
        <f>IF(E20="","",IFERROR(INDEX('Catálogo PCB'!$G$3:$G$102,MATCH(E20,'Catálogo PCB'!$F$3:$F$102,0))&amp;"",""))</f>
        <v/>
      </c>
      <c r="G20" s="19"/>
      <c r="H20" s="18"/>
      <c r="I20" s="7"/>
      <c r="J20" s="8"/>
      <c r="K20" s="9"/>
      <c r="L20" s="10"/>
      <c r="M20" s="20"/>
      <c r="N20" s="6" t="s">
        <v>43</v>
      </c>
      <c r="O20" s="67" t="s">
        <v>475</v>
      </c>
      <c r="P20" s="68" t="s">
        <v>475</v>
      </c>
      <c r="Q20" s="68" t="s">
        <v>475</v>
      </c>
    </row>
    <row r="21" spans="1:17" ht="17.7" customHeight="1">
      <c r="A21" s="16" t="s">
        <v>66</v>
      </c>
      <c r="B21" s="17" t="str">
        <f t="shared" si="0"/>
        <v>TQT-R1-V30-0031</v>
      </c>
      <c r="C21" s="60" t="str">
        <f>IF(B21="","",IFERROR(INDEX('Catálogo PCB'!$B$3:$B$102,MATCH(B21,'Catálogo PCB'!$A$3:$A$102,0))&amp;"",""))</f>
        <v/>
      </c>
      <c r="D21" s="19"/>
      <c r="E21" s="17" t="s">
        <v>394</v>
      </c>
      <c r="F21" s="17" t="str">
        <f>IF(E21="","",IFERROR(INDEX('Catálogo PCB'!$G$3:$G$102,MATCH(E21,'Catálogo PCB'!$F$3:$F$102,0))&amp;"",""))</f>
        <v/>
      </c>
      <c r="G21" s="19"/>
      <c r="H21" s="18"/>
      <c r="I21" s="7"/>
      <c r="J21" s="8"/>
      <c r="K21" s="9"/>
      <c r="L21" s="10"/>
      <c r="M21" s="20"/>
      <c r="N21" s="6" t="s">
        <v>45</v>
      </c>
      <c r="O21" s="67" t="s">
        <v>475</v>
      </c>
      <c r="P21" s="68" t="s">
        <v>475</v>
      </c>
      <c r="Q21" s="68" t="s">
        <v>475</v>
      </c>
    </row>
    <row r="22" spans="1:17" ht="17.7" customHeight="1">
      <c r="A22" s="16" t="s">
        <v>68</v>
      </c>
      <c r="B22" s="17" t="str">
        <f t="shared" si="0"/>
        <v>TQT-R1-V30-0032</v>
      </c>
      <c r="C22" s="17" t="str">
        <f>IF(B22="","",IFERROR(INDEX('Catálogo PCB'!$B$3:$B$102,MATCH(B22,'Catálogo PCB'!$A$3:$A$102,0))&amp;"",""))</f>
        <v/>
      </c>
      <c r="D22" s="19"/>
      <c r="E22" s="17" t="s">
        <v>395</v>
      </c>
      <c r="F22" s="17" t="str">
        <f>IF(E22="","",IFERROR(INDEX('Catálogo PCB'!$G$3:$G$102,MATCH(E22,'Catálogo PCB'!$F$3:$F$102,0))&amp;"",""))</f>
        <v/>
      </c>
      <c r="G22" s="19"/>
      <c r="H22" s="18"/>
      <c r="I22" s="7"/>
      <c r="J22" s="8"/>
      <c r="K22" s="9"/>
      <c r="L22" s="10"/>
      <c r="M22" s="20"/>
      <c r="N22" s="6" t="s">
        <v>47</v>
      </c>
      <c r="O22" s="67" t="s">
        <v>475</v>
      </c>
      <c r="P22" s="68" t="s">
        <v>475</v>
      </c>
      <c r="Q22" s="68" t="s">
        <v>475</v>
      </c>
    </row>
    <row r="23" spans="1:17" ht="17.7" customHeight="1">
      <c r="A23" s="16" t="s">
        <v>70</v>
      </c>
      <c r="B23" s="17" t="str">
        <f t="shared" si="0"/>
        <v>TQT-R1-V30-0033</v>
      </c>
      <c r="C23" s="17" t="str">
        <f>IF(B23="","",IFERROR(INDEX('Catálogo PCB'!$B$3:$B$102,MATCH(B23,'Catálogo PCB'!$A$3:$A$102,0))&amp;"",""))</f>
        <v/>
      </c>
      <c r="D23" s="19"/>
      <c r="E23" s="17" t="s">
        <v>396</v>
      </c>
      <c r="F23" s="17" t="str">
        <f>IF(E23="","",IFERROR(INDEX('Catálogo PCB'!$G$3:$G$102,MATCH(E23,'Catálogo PCB'!$F$3:$F$102,0))&amp;"",""))</f>
        <v/>
      </c>
      <c r="G23" s="19"/>
      <c r="H23" s="18"/>
      <c r="I23" s="7"/>
      <c r="J23" s="8"/>
      <c r="K23" s="9"/>
      <c r="L23" s="10"/>
      <c r="M23" s="20"/>
      <c r="N23" s="6" t="s">
        <v>49</v>
      </c>
      <c r="O23" s="67" t="s">
        <v>475</v>
      </c>
      <c r="P23" s="68" t="s">
        <v>475</v>
      </c>
      <c r="Q23" s="68" t="s">
        <v>475</v>
      </c>
    </row>
    <row r="24" spans="1:17" ht="17.7" customHeight="1">
      <c r="A24" s="16" t="s">
        <v>72</v>
      </c>
      <c r="B24" s="17" t="str">
        <f t="shared" si="0"/>
        <v>TQT-R1-V30-0034</v>
      </c>
      <c r="C24" s="17" t="str">
        <f>IF(B24="","",IFERROR(INDEX('Catálogo PCB'!$B$3:$B$102,MATCH(B24,'Catálogo PCB'!$A$3:$A$102,0))&amp;"",""))</f>
        <v/>
      </c>
      <c r="D24" s="19"/>
      <c r="E24" s="17" t="s">
        <v>397</v>
      </c>
      <c r="F24" s="17" t="str">
        <f>IF(E24="","",IFERROR(INDEX('Catálogo PCB'!$G$3:$G$102,MATCH(E24,'Catálogo PCB'!$F$3:$F$102,0))&amp;"",""))</f>
        <v/>
      </c>
      <c r="G24" s="19"/>
      <c r="H24" s="18"/>
      <c r="I24" s="7"/>
      <c r="J24" s="8"/>
      <c r="K24" s="9"/>
      <c r="L24" s="10"/>
      <c r="M24" s="20"/>
      <c r="N24" s="6" t="s">
        <v>51</v>
      </c>
      <c r="O24" s="67" t="s">
        <v>475</v>
      </c>
      <c r="P24" s="68" t="s">
        <v>475</v>
      </c>
      <c r="Q24" s="68" t="s">
        <v>475</v>
      </c>
    </row>
    <row r="25" spans="1:17" ht="17.7" customHeight="1">
      <c r="A25" s="16" t="s">
        <v>74</v>
      </c>
      <c r="B25" s="17" t="str">
        <f t="shared" si="0"/>
        <v>TQT-R1-V30-0035</v>
      </c>
      <c r="C25" s="17" t="str">
        <f>IF(B25="","",IFERROR(INDEX('Catálogo PCB'!$B$3:$B$102,MATCH(B25,'Catálogo PCB'!$A$3:$A$102,0))&amp;"",""))</f>
        <v/>
      </c>
      <c r="D25" s="19"/>
      <c r="E25" s="17" t="s">
        <v>398</v>
      </c>
      <c r="F25" s="17" t="str">
        <f>IF(E25="","",IFERROR(INDEX('Catálogo PCB'!$G$3:$G$102,MATCH(E25,'Catálogo PCB'!$F$3:$F$102,0))&amp;"",""))</f>
        <v/>
      </c>
      <c r="G25" s="19"/>
      <c r="H25" s="18"/>
      <c r="I25" s="7"/>
      <c r="J25" s="8"/>
      <c r="K25" s="9"/>
      <c r="L25" s="10"/>
      <c r="M25" s="20"/>
      <c r="N25" s="6" t="s">
        <v>53</v>
      </c>
      <c r="O25" s="67" t="s">
        <v>475</v>
      </c>
      <c r="P25" s="68" t="s">
        <v>475</v>
      </c>
      <c r="Q25" s="68" t="s">
        <v>475</v>
      </c>
    </row>
    <row r="26" spans="1:17" ht="17.7" customHeight="1">
      <c r="A26" s="16" t="s">
        <v>78</v>
      </c>
      <c r="B26" s="17" t="str">
        <f t="shared" si="0"/>
        <v>TQT-R1-V30-0037</v>
      </c>
      <c r="C26" s="17" t="str">
        <f>IF(B26="","",IFERROR(INDEX('Catálogo PCB'!$B$3:$B$102,MATCH(B26,'Catálogo PCB'!$A$3:$A$102,0))&amp;"",""))</f>
        <v/>
      </c>
      <c r="D26" s="19"/>
      <c r="E26" s="17" t="s">
        <v>399</v>
      </c>
      <c r="F26" s="17" t="str">
        <f>IF(E26="","",IFERROR(INDEX('Catálogo PCB'!$G$3:$G$102,MATCH(E26,'Catálogo PCB'!$F$3:$F$102,0))&amp;"",""))</f>
        <v/>
      </c>
      <c r="G26" s="19"/>
      <c r="H26" s="18"/>
      <c r="I26" s="7"/>
      <c r="J26" s="8"/>
      <c r="K26" s="9"/>
      <c r="L26" s="10"/>
      <c r="M26" s="20"/>
      <c r="N26" s="6" t="s">
        <v>55</v>
      </c>
      <c r="O26" s="67" t="s">
        <v>475</v>
      </c>
      <c r="P26" s="68" t="s">
        <v>475</v>
      </c>
      <c r="Q26" s="68" t="s">
        <v>475</v>
      </c>
    </row>
    <row r="27" spans="1:17" ht="17.7" customHeight="1">
      <c r="A27" s="16" t="s">
        <v>82</v>
      </c>
      <c r="B27" s="17" t="str">
        <f t="shared" si="0"/>
        <v>TQT-R1-V30-0039</v>
      </c>
      <c r="C27" s="17" t="str">
        <f>IF(B27="","",IFERROR(INDEX('Catálogo PCB'!$B$3:$B$102,MATCH(B27,'Catálogo PCB'!$A$3:$A$102,0))&amp;"",""))</f>
        <v/>
      </c>
      <c r="D27" s="19"/>
      <c r="E27" s="17" t="s">
        <v>400</v>
      </c>
      <c r="F27" s="17" t="str">
        <f>IF(E27="","",IFERROR(INDEX('Catálogo PCB'!$G$3:$G$102,MATCH(E27,'Catálogo PCB'!$F$3:$F$102,0))&amp;"",""))</f>
        <v/>
      </c>
      <c r="G27" s="19"/>
      <c r="H27" s="18"/>
      <c r="I27" s="7"/>
      <c r="J27" s="8"/>
      <c r="K27" s="9"/>
      <c r="L27" s="10"/>
      <c r="M27" s="20"/>
      <c r="N27" s="6" t="s">
        <v>57</v>
      </c>
      <c r="O27" s="67" t="s">
        <v>475</v>
      </c>
      <c r="P27" s="68" t="s">
        <v>475</v>
      </c>
      <c r="Q27" s="68" t="s">
        <v>475</v>
      </c>
    </row>
    <row r="28" spans="1:17" ht="17.7" customHeight="1">
      <c r="A28" s="16" t="s">
        <v>84</v>
      </c>
      <c r="B28" s="17" t="str">
        <f t="shared" si="0"/>
        <v>TQT-R1-V30-0040</v>
      </c>
      <c r="C28" s="17" t="str">
        <f>IF(B28="","",IFERROR(INDEX('Catálogo PCB'!$B$3:$B$102,MATCH(B28,'Catálogo PCB'!$A$3:$A$102,0))&amp;"",""))</f>
        <v/>
      </c>
      <c r="D28" s="19"/>
      <c r="E28" s="17" t="s">
        <v>401</v>
      </c>
      <c r="F28" s="17" t="str">
        <f>IF(E28="","",IFERROR(INDEX('Catálogo PCB'!$G$3:$G$102,MATCH(E28,'Catálogo PCB'!$F$3:$F$102,0))&amp;"",""))</f>
        <v/>
      </c>
      <c r="G28" s="19"/>
      <c r="H28" s="18"/>
      <c r="I28" s="7"/>
      <c r="J28" s="8"/>
      <c r="K28" s="9"/>
      <c r="L28" s="10"/>
      <c r="M28" s="20"/>
      <c r="N28" s="6" t="s">
        <v>59</v>
      </c>
      <c r="O28" s="67" t="s">
        <v>475</v>
      </c>
      <c r="P28" s="68" t="s">
        <v>475</v>
      </c>
      <c r="Q28" s="68" t="s">
        <v>475</v>
      </c>
    </row>
    <row r="29" spans="1:17" ht="17.7" customHeight="1">
      <c r="A29" s="16" t="s">
        <v>86</v>
      </c>
      <c r="B29" s="17" t="str">
        <f t="shared" si="0"/>
        <v>TQT-R1-V30-0041</v>
      </c>
      <c r="C29" s="17" t="str">
        <f>IF(B29="","",IFERROR(INDEX('Catálogo PCB'!$B$3:$B$102,MATCH(B29,'Catálogo PCB'!$A$3:$A$102,0))&amp;"",""))</f>
        <v/>
      </c>
      <c r="D29" s="19"/>
      <c r="E29" s="17" t="s">
        <v>402</v>
      </c>
      <c r="F29" s="17" t="str">
        <f>IF(E29="","",IFERROR(INDEX('Catálogo PCB'!$G$3:$G$102,MATCH(E29,'Catálogo PCB'!$F$3:$F$102,0))&amp;"",""))</f>
        <v/>
      </c>
      <c r="G29" s="19"/>
      <c r="H29" s="18"/>
      <c r="I29" s="7"/>
      <c r="J29" s="8"/>
      <c r="K29" s="9"/>
      <c r="L29" s="10"/>
      <c r="M29" s="20"/>
      <c r="N29" s="6" t="s">
        <v>61</v>
      </c>
      <c r="O29" s="67" t="s">
        <v>475</v>
      </c>
      <c r="P29" s="68" t="s">
        <v>475</v>
      </c>
      <c r="Q29" s="68" t="s">
        <v>475</v>
      </c>
    </row>
    <row r="30" spans="1:17" ht="17.7" customHeight="1">
      <c r="A30" s="16" t="s">
        <v>88</v>
      </c>
      <c r="B30" s="17" t="str">
        <f t="shared" si="0"/>
        <v>TQT-R1-V30-0042</v>
      </c>
      <c r="C30" s="17" t="str">
        <f>IF(B30="","",IFERROR(INDEX('Catálogo PCB'!$B$3:$B$102,MATCH(B30,'Catálogo PCB'!$A$3:$A$102,0))&amp;"",""))</f>
        <v/>
      </c>
      <c r="D30" s="19"/>
      <c r="E30" s="17" t="s">
        <v>403</v>
      </c>
      <c r="F30" s="17" t="str">
        <f>IF(E30="","",IFERROR(INDEX('Catálogo PCB'!$G$3:$G$102,MATCH(E30,'Catálogo PCB'!$F$3:$F$102,0))&amp;"",""))</f>
        <v/>
      </c>
      <c r="G30" s="19"/>
      <c r="H30" s="18"/>
      <c r="I30" s="7"/>
      <c r="J30" s="8"/>
      <c r="K30" s="9"/>
      <c r="L30" s="10"/>
      <c r="M30" s="20"/>
      <c r="N30" s="6" t="s">
        <v>63</v>
      </c>
      <c r="O30" s="67" t="s">
        <v>475</v>
      </c>
      <c r="P30" s="68" t="s">
        <v>475</v>
      </c>
      <c r="Q30" s="68" t="s">
        <v>475</v>
      </c>
    </row>
    <row r="31" spans="1:17" ht="17.7" customHeight="1">
      <c r="A31" s="16" t="s">
        <v>90</v>
      </c>
      <c r="B31" s="17" t="str">
        <f t="shared" si="0"/>
        <v>TQT-R1-V30-0043</v>
      </c>
      <c r="C31" s="17" t="str">
        <f>IF(B31="","",IFERROR(INDEX('Catálogo PCB'!$B$3:$B$102,MATCH(B31,'Catálogo PCB'!$A$3:$A$102,0))&amp;"",""))</f>
        <v/>
      </c>
      <c r="D31" s="19"/>
      <c r="E31" s="17" t="s">
        <v>404</v>
      </c>
      <c r="F31" s="17" t="str">
        <f>IF(E31="","",IFERROR(INDEX('Catálogo PCB'!$G$3:$G$102,MATCH(E31,'Catálogo PCB'!$F$3:$F$102,0))&amp;"",""))</f>
        <v/>
      </c>
      <c r="G31" s="19"/>
      <c r="H31" s="18"/>
      <c r="I31" s="7"/>
      <c r="J31" s="8"/>
      <c r="K31" s="9"/>
      <c r="L31" s="10"/>
      <c r="M31" s="20"/>
      <c r="N31" s="6" t="s">
        <v>65</v>
      </c>
      <c r="O31" s="67" t="s">
        <v>475</v>
      </c>
      <c r="P31" s="68" t="s">
        <v>475</v>
      </c>
      <c r="Q31" s="68" t="s">
        <v>475</v>
      </c>
    </row>
    <row r="32" spans="1:17" ht="17.7" customHeight="1">
      <c r="A32" s="16" t="s">
        <v>92</v>
      </c>
      <c r="B32" s="17" t="str">
        <f t="shared" si="0"/>
        <v>TQT-R1-V30-0044</v>
      </c>
      <c r="C32" s="17" t="str">
        <f>IF(B32="","",IFERROR(INDEX('Catálogo PCB'!$B$3:$B$102,MATCH(B32,'Catálogo PCB'!$A$3:$A$102,0))&amp;"",""))</f>
        <v/>
      </c>
      <c r="D32" s="19"/>
      <c r="E32" s="17" t="s">
        <v>405</v>
      </c>
      <c r="F32" s="17" t="str">
        <f>IF(E32="","",IFERROR(INDEX('Catálogo PCB'!$G$3:$G$102,MATCH(E32,'Catálogo PCB'!$F$3:$F$102,0))&amp;"",""))</f>
        <v/>
      </c>
      <c r="G32" s="19"/>
      <c r="H32" s="18"/>
      <c r="I32" s="7"/>
      <c r="J32" s="8"/>
      <c r="K32" s="9"/>
      <c r="L32" s="10"/>
      <c r="M32" s="20"/>
      <c r="N32" s="6" t="s">
        <v>67</v>
      </c>
      <c r="O32" s="67" t="s">
        <v>475</v>
      </c>
      <c r="P32" s="68" t="s">
        <v>475</v>
      </c>
      <c r="Q32" s="68" t="s">
        <v>475</v>
      </c>
    </row>
    <row r="33" spans="1:17" ht="17.7" customHeight="1">
      <c r="A33" s="16" t="s">
        <v>94</v>
      </c>
      <c r="B33" s="17" t="str">
        <f t="shared" si="0"/>
        <v>TQT-R1-V30-0045</v>
      </c>
      <c r="C33" s="17" t="str">
        <f>IF(B33="","",IFERROR(INDEX('Catálogo PCB'!$B$3:$B$102,MATCH(B33,'Catálogo PCB'!$A$3:$A$102,0))&amp;"",""))</f>
        <v/>
      </c>
      <c r="D33" s="19"/>
      <c r="E33" s="17" t="s">
        <v>406</v>
      </c>
      <c r="F33" s="17" t="str">
        <f>IF(E33="","",IFERROR(INDEX('Catálogo PCB'!$G$3:$G$102,MATCH(E33,'Catálogo PCB'!$F$3:$F$102,0))&amp;"",""))</f>
        <v/>
      </c>
      <c r="G33" s="19"/>
      <c r="H33" s="18"/>
      <c r="I33" s="7"/>
      <c r="J33" s="8"/>
      <c r="K33" s="9"/>
      <c r="L33" s="10"/>
      <c r="M33" s="20"/>
      <c r="N33" s="6" t="s">
        <v>69</v>
      </c>
      <c r="O33" s="67" t="s">
        <v>475</v>
      </c>
      <c r="P33" s="68" t="s">
        <v>475</v>
      </c>
      <c r="Q33" s="68" t="s">
        <v>475</v>
      </c>
    </row>
    <row r="34" spans="1:17" ht="17.7" customHeight="1">
      <c r="A34" s="16" t="s">
        <v>96</v>
      </c>
      <c r="B34" s="17" t="str">
        <f t="shared" si="0"/>
        <v>TQT-R1-V30-0046</v>
      </c>
      <c r="C34" s="17" t="str">
        <f>IF(B34="","",IFERROR(INDEX('Catálogo PCB'!$B$3:$B$102,MATCH(B34,'Catálogo PCB'!$A$3:$A$102,0))&amp;"",""))</f>
        <v/>
      </c>
      <c r="D34" s="19"/>
      <c r="E34" s="17" t="s">
        <v>407</v>
      </c>
      <c r="F34" s="17" t="str">
        <f>IF(E34="","",IFERROR(INDEX('Catálogo PCB'!$G$3:$G$102,MATCH(E34,'Catálogo PCB'!$F$3:$F$102,0))&amp;"",""))</f>
        <v/>
      </c>
      <c r="G34" s="19"/>
      <c r="H34" s="18"/>
      <c r="I34" s="7"/>
      <c r="J34" s="8"/>
      <c r="K34" s="9"/>
      <c r="L34" s="10"/>
      <c r="M34" s="20"/>
      <c r="N34" s="6" t="s">
        <v>71</v>
      </c>
      <c r="O34" s="67" t="s">
        <v>475</v>
      </c>
      <c r="P34" s="68" t="s">
        <v>475</v>
      </c>
      <c r="Q34" s="68" t="s">
        <v>475</v>
      </c>
    </row>
    <row r="35" spans="1:17" ht="17.7" customHeight="1">
      <c r="A35" s="16" t="s">
        <v>98</v>
      </c>
      <c r="B35" s="17" t="str">
        <f t="shared" si="0"/>
        <v>TQT-R1-V30-0047</v>
      </c>
      <c r="C35" s="17" t="str">
        <f>IF(B35="","",IFERROR(INDEX('Catálogo PCB'!$B$3:$B$102,MATCH(B35,'Catálogo PCB'!$A$3:$A$102,0))&amp;"",""))</f>
        <v/>
      </c>
      <c r="D35" s="19"/>
      <c r="E35" s="17" t="s">
        <v>408</v>
      </c>
      <c r="F35" s="17" t="str">
        <f>IF(E35="","",IFERROR(INDEX('Catálogo PCB'!$G$3:$G$102,MATCH(E35,'Catálogo PCB'!$F$3:$F$102,0))&amp;"",""))</f>
        <v/>
      </c>
      <c r="G35" s="19"/>
      <c r="H35" s="18"/>
      <c r="I35" s="7"/>
      <c r="J35" s="8"/>
      <c r="K35" s="9"/>
      <c r="L35" s="10"/>
      <c r="M35" s="20"/>
      <c r="N35" s="6" t="s">
        <v>73</v>
      </c>
      <c r="O35" s="67" t="s">
        <v>475</v>
      </c>
      <c r="P35" s="68" t="s">
        <v>475</v>
      </c>
      <c r="Q35" s="68" t="s">
        <v>475</v>
      </c>
    </row>
    <row r="36" spans="1:17" ht="17.7" customHeight="1">
      <c r="A36" s="16" t="s">
        <v>100</v>
      </c>
      <c r="B36" s="17" t="str">
        <f t="shared" si="0"/>
        <v>TQT-R1-V30-0048</v>
      </c>
      <c r="C36" s="17" t="str">
        <f>IF(B36="","",IFERROR(INDEX('Catálogo PCB'!$B$3:$B$102,MATCH(B36,'Catálogo PCB'!$A$3:$A$102,0))&amp;"",""))</f>
        <v/>
      </c>
      <c r="D36" s="19"/>
      <c r="E36" s="17" t="s">
        <v>409</v>
      </c>
      <c r="F36" s="17" t="str">
        <f>IF(E36="","",IFERROR(INDEX('Catálogo PCB'!$G$3:$G$102,MATCH(E36,'Catálogo PCB'!$F$3:$F$102,0))&amp;"",""))</f>
        <v/>
      </c>
      <c r="G36" s="19"/>
      <c r="H36" s="18"/>
      <c r="I36" s="7"/>
      <c r="J36" s="8"/>
      <c r="K36" s="9"/>
      <c r="L36" s="10"/>
      <c r="M36" s="20"/>
      <c r="N36" s="6" t="s">
        <v>75</v>
      </c>
      <c r="O36" s="67" t="s">
        <v>475</v>
      </c>
      <c r="P36" s="68" t="s">
        <v>475</v>
      </c>
      <c r="Q36" s="68" t="s">
        <v>475</v>
      </c>
    </row>
    <row r="37" spans="1:17" ht="17.7" customHeight="1">
      <c r="A37" s="16" t="s">
        <v>102</v>
      </c>
      <c r="B37" s="17" t="str">
        <f t="shared" si="0"/>
        <v>TQT-R1-V30-0049</v>
      </c>
      <c r="C37" s="17" t="str">
        <f>IF(B37="","",IFERROR(INDEX('Catálogo PCB'!$B$3:$B$102,MATCH(B37,'Catálogo PCB'!$A$3:$A$102,0))&amp;"",""))</f>
        <v/>
      </c>
      <c r="D37" s="19"/>
      <c r="E37" s="17" t="s">
        <v>410</v>
      </c>
      <c r="F37" s="17" t="str">
        <f>IF(E37="","",IFERROR(INDEX('Catálogo PCB'!$G$3:$G$102,MATCH(E37,'Catálogo PCB'!$F$3:$F$102,0))&amp;"",""))</f>
        <v/>
      </c>
      <c r="G37" s="19"/>
      <c r="H37" s="18"/>
      <c r="I37" s="7"/>
      <c r="J37" s="8"/>
      <c r="K37" s="9"/>
      <c r="L37" s="10"/>
      <c r="M37" s="20"/>
      <c r="N37" s="6" t="s">
        <v>77</v>
      </c>
      <c r="O37" s="67" t="s">
        <v>475</v>
      </c>
      <c r="P37" s="68" t="s">
        <v>475</v>
      </c>
      <c r="Q37" s="68" t="s">
        <v>475</v>
      </c>
    </row>
    <row r="38" spans="1:17" ht="17.7" customHeight="1">
      <c r="A38" s="16" t="s">
        <v>104</v>
      </c>
      <c r="B38" s="17" t="str">
        <f t="shared" si="0"/>
        <v>TQT-R1-V30-0050</v>
      </c>
      <c r="C38" s="17" t="str">
        <f>IF(B38="","",IFERROR(INDEX('Catálogo PCB'!$B$3:$B$102,MATCH(B38,'Catálogo PCB'!$A$3:$A$102,0))&amp;"",""))</f>
        <v/>
      </c>
      <c r="D38" s="19"/>
      <c r="E38" s="17" t="s">
        <v>411</v>
      </c>
      <c r="F38" s="17" t="str">
        <f>IF(E38="","",IFERROR(INDEX('Catálogo PCB'!$G$3:$G$102,MATCH(E38,'Catálogo PCB'!$F$3:$F$102,0))&amp;"",""))</f>
        <v/>
      </c>
      <c r="G38" s="19"/>
      <c r="H38" s="18"/>
      <c r="I38" s="7"/>
      <c r="J38" s="8"/>
      <c r="K38" s="9"/>
      <c r="L38" s="10"/>
      <c r="M38" s="20"/>
      <c r="N38" s="6" t="s">
        <v>79</v>
      </c>
      <c r="O38" s="67" t="s">
        <v>475</v>
      </c>
      <c r="P38" s="68" t="s">
        <v>475</v>
      </c>
      <c r="Q38" s="68" t="s">
        <v>475</v>
      </c>
    </row>
    <row r="39" spans="1:17" ht="17.7" customHeight="1">
      <c r="A39" s="16" t="s">
        <v>106</v>
      </c>
      <c r="B39" s="17" t="str">
        <f t="shared" si="0"/>
        <v>TQT-R1-V30-0051</v>
      </c>
      <c r="C39" s="17" t="str">
        <f>IF(B39="","",IFERROR(INDEX('Catálogo PCB'!$B$3:$B$102,MATCH(B39,'Catálogo PCB'!$A$3:$A$102,0))&amp;"",""))</f>
        <v/>
      </c>
      <c r="D39" s="19"/>
      <c r="E39" s="17" t="s">
        <v>412</v>
      </c>
      <c r="F39" s="17" t="str">
        <f>IF(E39="","",IFERROR(INDEX('Catálogo PCB'!$G$3:$G$102,MATCH(E39,'Catálogo PCB'!$F$3:$F$102,0))&amp;"",""))</f>
        <v/>
      </c>
      <c r="G39" s="19"/>
      <c r="H39" s="18"/>
      <c r="I39" s="7"/>
      <c r="J39" s="8"/>
      <c r="K39" s="9"/>
      <c r="L39" s="10"/>
      <c r="M39" s="20"/>
      <c r="N39" s="6" t="s">
        <v>81</v>
      </c>
      <c r="O39" s="67" t="s">
        <v>475</v>
      </c>
      <c r="P39" s="68" t="s">
        <v>475</v>
      </c>
      <c r="Q39" s="68" t="s">
        <v>475</v>
      </c>
    </row>
    <row r="40" spans="1:17" ht="17.7" customHeight="1">
      <c r="A40" s="16" t="s">
        <v>108</v>
      </c>
      <c r="B40" s="17" t="str">
        <f t="shared" si="0"/>
        <v>TQT-R1-V30-0052</v>
      </c>
      <c r="C40" s="17" t="str">
        <f>IF(B40="","",IFERROR(INDEX('Catálogo PCB'!$B$3:$B$102,MATCH(B40,'Catálogo PCB'!$A$3:$A$102,0))&amp;"",""))</f>
        <v/>
      </c>
      <c r="D40" s="19"/>
      <c r="E40" s="17" t="s">
        <v>413</v>
      </c>
      <c r="F40" s="17" t="str">
        <f>IF(E40="","",IFERROR(INDEX('Catálogo PCB'!$G$3:$G$102,MATCH(E40,'Catálogo PCB'!$F$3:$F$102,0))&amp;"",""))</f>
        <v/>
      </c>
      <c r="G40" s="19"/>
      <c r="H40" s="18"/>
      <c r="I40" s="7"/>
      <c r="J40" s="8"/>
      <c r="K40" s="9"/>
      <c r="L40" s="10"/>
      <c r="M40" s="20"/>
      <c r="N40" s="6" t="s">
        <v>83</v>
      </c>
      <c r="O40" s="67" t="s">
        <v>475</v>
      </c>
      <c r="P40" s="68" t="s">
        <v>475</v>
      </c>
      <c r="Q40" s="68" t="s">
        <v>475</v>
      </c>
    </row>
    <row r="41" spans="1:17" ht="17.7" customHeight="1">
      <c r="A41" s="16" t="s">
        <v>110</v>
      </c>
      <c r="B41" s="17" t="str">
        <f t="shared" si="0"/>
        <v>TQT-R1-V30-0053</v>
      </c>
      <c r="C41" s="17" t="str">
        <f>IF(B41="","",IFERROR(INDEX('Catálogo PCB'!$B$3:$B$102,MATCH(B41,'Catálogo PCB'!$A$3:$A$102,0))&amp;"",""))</f>
        <v/>
      </c>
      <c r="D41" s="19"/>
      <c r="E41" s="17" t="s">
        <v>414</v>
      </c>
      <c r="F41" s="17" t="str">
        <f>IF(E41="","",IFERROR(INDEX('Catálogo PCB'!$G$3:$G$102,MATCH(E41,'Catálogo PCB'!$F$3:$F$102,0))&amp;"",""))</f>
        <v/>
      </c>
      <c r="G41" s="19"/>
      <c r="H41" s="18"/>
      <c r="I41" s="7"/>
      <c r="J41" s="8"/>
      <c r="K41" s="9"/>
      <c r="L41" s="10"/>
      <c r="M41" s="20"/>
      <c r="N41" s="6" t="s">
        <v>85</v>
      </c>
      <c r="O41" s="67" t="s">
        <v>475</v>
      </c>
      <c r="P41" s="68" t="s">
        <v>475</v>
      </c>
      <c r="Q41" s="68" t="s">
        <v>475</v>
      </c>
    </row>
    <row r="42" spans="1:17" ht="17.7" customHeight="1">
      <c r="A42" s="16" t="s">
        <v>112</v>
      </c>
      <c r="B42" s="17" t="str">
        <f t="shared" si="0"/>
        <v>TQT-R1-V30-0054</v>
      </c>
      <c r="C42" s="17" t="str">
        <f>IF(B42="","",IFERROR(INDEX('Catálogo PCB'!$B$3:$B$102,MATCH(B42,'Catálogo PCB'!$A$3:$A$102,0))&amp;"",""))</f>
        <v/>
      </c>
      <c r="D42" s="19"/>
      <c r="E42" s="17" t="s">
        <v>415</v>
      </c>
      <c r="F42" s="17" t="str">
        <f>IF(E42="","",IFERROR(INDEX('Catálogo PCB'!$G$3:$G$102,MATCH(E42,'Catálogo PCB'!$F$3:$F$102,0))&amp;"",""))</f>
        <v/>
      </c>
      <c r="G42" s="19"/>
      <c r="H42" s="18"/>
      <c r="I42" s="7"/>
      <c r="J42" s="8"/>
      <c r="K42" s="9"/>
      <c r="L42" s="10"/>
      <c r="M42" s="20"/>
      <c r="N42" s="6" t="s">
        <v>87</v>
      </c>
      <c r="O42" s="67" t="s">
        <v>475</v>
      </c>
      <c r="P42" s="68" t="s">
        <v>475</v>
      </c>
      <c r="Q42" s="68" t="s">
        <v>475</v>
      </c>
    </row>
    <row r="43" spans="1:17" ht="17.7" customHeight="1">
      <c r="A43" s="16" t="s">
        <v>114</v>
      </c>
      <c r="B43" s="17" t="str">
        <f t="shared" si="0"/>
        <v>TQT-R1-V30-0055</v>
      </c>
      <c r="C43" s="17" t="str">
        <f>IF(B43="","",IFERROR(INDEX('Catálogo PCB'!$B$3:$B$102,MATCH(B43,'Catálogo PCB'!$A$3:$A$102,0))&amp;"",""))</f>
        <v/>
      </c>
      <c r="D43" s="19"/>
      <c r="E43" s="17" t="s">
        <v>416</v>
      </c>
      <c r="F43" s="17" t="str">
        <f>IF(E43="","",IFERROR(INDEX('Catálogo PCB'!$G$3:$G$102,MATCH(E43,'Catálogo PCB'!$F$3:$F$102,0))&amp;"",""))</f>
        <v/>
      </c>
      <c r="G43" s="19"/>
      <c r="H43" s="18"/>
      <c r="I43" s="7"/>
      <c r="J43" s="8"/>
      <c r="K43" s="9"/>
      <c r="L43" s="10"/>
      <c r="M43" s="20"/>
      <c r="N43" s="6" t="s">
        <v>89</v>
      </c>
      <c r="O43" s="67" t="s">
        <v>475</v>
      </c>
      <c r="P43" s="68" t="s">
        <v>475</v>
      </c>
      <c r="Q43" s="68" t="s">
        <v>475</v>
      </c>
    </row>
    <row r="44" spans="1:17" ht="17.7" customHeight="1">
      <c r="A44" s="16" t="s">
        <v>116</v>
      </c>
      <c r="B44" s="17" t="str">
        <f t="shared" si="0"/>
        <v>TQT-R1-V30-0056</v>
      </c>
      <c r="C44" s="17" t="str">
        <f>IF(B44="","",IFERROR(INDEX('Catálogo PCB'!$B$3:$B$102,MATCH(B44,'Catálogo PCB'!$A$3:$A$102,0))&amp;"",""))</f>
        <v/>
      </c>
      <c r="D44" s="19"/>
      <c r="E44" s="17" t="s">
        <v>417</v>
      </c>
      <c r="F44" s="17" t="str">
        <f>IF(E44="","",IFERROR(INDEX('Catálogo PCB'!$G$3:$G$102,MATCH(E44,'Catálogo PCB'!$F$3:$F$102,0))&amp;"",""))</f>
        <v/>
      </c>
      <c r="G44" s="19"/>
      <c r="H44" s="18"/>
      <c r="I44" s="7"/>
      <c r="J44" s="8"/>
      <c r="K44" s="9"/>
      <c r="L44" s="10"/>
      <c r="M44" s="20"/>
      <c r="N44" s="6" t="s">
        <v>91</v>
      </c>
      <c r="O44" s="67" t="s">
        <v>475</v>
      </c>
      <c r="P44" s="68" t="s">
        <v>475</v>
      </c>
      <c r="Q44" s="68" t="s">
        <v>475</v>
      </c>
    </row>
    <row r="45" spans="1:17" ht="17.7" customHeight="1">
      <c r="A45" s="16" t="s">
        <v>118</v>
      </c>
      <c r="B45" s="17" t="str">
        <f t="shared" si="0"/>
        <v>TQT-R1-V30-0057</v>
      </c>
      <c r="C45" s="17" t="str">
        <f>IF(B45="","",IFERROR(INDEX('Catálogo PCB'!$B$3:$B$102,MATCH(B45,'Catálogo PCB'!$A$3:$A$102,0))&amp;"",""))</f>
        <v/>
      </c>
      <c r="D45" s="19"/>
      <c r="E45" s="17" t="s">
        <v>418</v>
      </c>
      <c r="F45" s="17" t="str">
        <f>IF(E45="","",IFERROR(INDEX('Catálogo PCB'!$G$3:$G$102,MATCH(E45,'Catálogo PCB'!$F$3:$F$102,0))&amp;"",""))</f>
        <v/>
      </c>
      <c r="G45" s="19"/>
      <c r="H45" s="18"/>
      <c r="I45" s="7"/>
      <c r="J45" s="8"/>
      <c r="K45" s="9"/>
      <c r="L45" s="10"/>
      <c r="M45" s="20"/>
      <c r="N45" s="6" t="s">
        <v>93</v>
      </c>
      <c r="O45" s="67" t="s">
        <v>475</v>
      </c>
      <c r="P45" s="68" t="s">
        <v>475</v>
      </c>
      <c r="Q45" s="68" t="s">
        <v>475</v>
      </c>
    </row>
    <row r="46" spans="1:17" ht="17.7" customHeight="1">
      <c r="A46" s="16" t="s">
        <v>120</v>
      </c>
      <c r="B46" s="17" t="str">
        <f t="shared" si="0"/>
        <v>TQT-R1-V30-0058</v>
      </c>
      <c r="C46" s="17" t="str">
        <f>IF(B46="","",IFERROR(INDEX('Catálogo PCB'!$B$3:$B$102,MATCH(B46,'Catálogo PCB'!$A$3:$A$102,0))&amp;"",""))</f>
        <v/>
      </c>
      <c r="D46" s="19"/>
      <c r="E46" s="17" t="s">
        <v>419</v>
      </c>
      <c r="F46" s="17" t="str">
        <f>IF(E46="","",IFERROR(INDEX('Catálogo PCB'!$G$3:$G$102,MATCH(E46,'Catálogo PCB'!$F$3:$F$102,0))&amp;"",""))</f>
        <v/>
      </c>
      <c r="G46" s="19"/>
      <c r="H46" s="18"/>
      <c r="I46" s="7"/>
      <c r="J46" s="8"/>
      <c r="K46" s="9"/>
      <c r="L46" s="10"/>
      <c r="M46" s="20"/>
      <c r="N46" s="6" t="s">
        <v>95</v>
      </c>
      <c r="O46" s="67" t="s">
        <v>475</v>
      </c>
      <c r="P46" s="68" t="s">
        <v>475</v>
      </c>
      <c r="Q46" s="68" t="s">
        <v>475</v>
      </c>
    </row>
    <row r="47" spans="1:17" ht="17.7" customHeight="1">
      <c r="A47" s="16" t="s">
        <v>122</v>
      </c>
      <c r="B47" s="17" t="str">
        <f t="shared" si="0"/>
        <v>TQT-R1-V30-0059</v>
      </c>
      <c r="C47" s="17" t="str">
        <f>IF(B47="","",IFERROR(INDEX('Catálogo PCB'!$B$3:$B$102,MATCH(B47,'Catálogo PCB'!$A$3:$A$102,0))&amp;"",""))</f>
        <v/>
      </c>
      <c r="D47" s="19"/>
      <c r="E47" s="17" t="s">
        <v>420</v>
      </c>
      <c r="F47" s="17" t="str">
        <f>IF(E47="","",IFERROR(INDEX('Catálogo PCB'!$G$3:$G$102,MATCH(E47,'Catálogo PCB'!$F$3:$F$102,0))&amp;"",""))</f>
        <v/>
      </c>
      <c r="G47" s="19"/>
      <c r="H47" s="18"/>
      <c r="I47" s="7"/>
      <c r="J47" s="8"/>
      <c r="K47" s="9"/>
      <c r="L47" s="10"/>
      <c r="M47" s="20"/>
      <c r="N47" s="6" t="s">
        <v>97</v>
      </c>
      <c r="O47" s="67" t="s">
        <v>475</v>
      </c>
      <c r="P47" s="68" t="s">
        <v>475</v>
      </c>
      <c r="Q47" s="68" t="s">
        <v>475</v>
      </c>
    </row>
    <row r="48" spans="1:17" ht="17.7" customHeight="1">
      <c r="A48" s="16" t="s">
        <v>124</v>
      </c>
      <c r="B48" s="17" t="str">
        <f t="shared" si="0"/>
        <v>TQT-R1-V30-0060</v>
      </c>
      <c r="C48" s="17" t="str">
        <f>IF(B48="","",IFERROR(INDEX('Catálogo PCB'!$B$3:$B$102,MATCH(B48,'Catálogo PCB'!$A$3:$A$102,0))&amp;"",""))</f>
        <v/>
      </c>
      <c r="D48" s="19"/>
      <c r="E48" s="17" t="s">
        <v>421</v>
      </c>
      <c r="F48" s="17" t="str">
        <f>IF(E48="","",IFERROR(INDEX('Catálogo PCB'!$G$3:$G$102,MATCH(E48,'Catálogo PCB'!$F$3:$F$102,0))&amp;"",""))</f>
        <v/>
      </c>
      <c r="G48" s="19"/>
      <c r="H48" s="18"/>
      <c r="I48" s="7"/>
      <c r="J48" s="8"/>
      <c r="K48" s="9"/>
      <c r="L48" s="10"/>
      <c r="M48" s="20"/>
      <c r="N48" s="6" t="s">
        <v>99</v>
      </c>
      <c r="O48" s="67" t="s">
        <v>475</v>
      </c>
      <c r="P48" s="68" t="s">
        <v>475</v>
      </c>
      <c r="Q48" s="68" t="s">
        <v>475</v>
      </c>
    </row>
    <row r="49" spans="1:17" ht="17.7" customHeight="1">
      <c r="A49" s="16" t="s">
        <v>126</v>
      </c>
      <c r="B49" s="17" t="str">
        <f t="shared" si="0"/>
        <v>TQT-R1-V30-0061</v>
      </c>
      <c r="C49" s="17" t="str">
        <f>IF(B49="","",IFERROR(INDEX('Catálogo PCB'!$B$3:$B$102,MATCH(B49,'Catálogo PCB'!$A$3:$A$102,0))&amp;"",""))</f>
        <v/>
      </c>
      <c r="D49" s="19"/>
      <c r="E49" s="17" t="s">
        <v>422</v>
      </c>
      <c r="F49" s="17" t="str">
        <f>IF(E49="","",IFERROR(INDEX('Catálogo PCB'!$G$3:$G$102,MATCH(E49,'Catálogo PCB'!$F$3:$F$102,0))&amp;"",""))</f>
        <v/>
      </c>
      <c r="G49" s="19"/>
      <c r="H49" s="18"/>
      <c r="I49" s="7"/>
      <c r="J49" s="8"/>
      <c r="K49" s="9"/>
      <c r="L49" s="10"/>
      <c r="M49" s="20"/>
      <c r="N49" s="6" t="s">
        <v>101</v>
      </c>
      <c r="O49" s="67" t="s">
        <v>475</v>
      </c>
      <c r="P49" s="68" t="s">
        <v>475</v>
      </c>
      <c r="Q49" s="68" t="s">
        <v>475</v>
      </c>
    </row>
    <row r="50" spans="1:17" ht="17.7" customHeight="1">
      <c r="A50" s="16" t="s">
        <v>128</v>
      </c>
      <c r="B50" s="17" t="str">
        <f t="shared" si="0"/>
        <v>TQT-R1-V30-0062</v>
      </c>
      <c r="C50" s="17" t="str">
        <f>IF(B50="","",IFERROR(INDEX('Catálogo PCB'!$B$3:$B$102,MATCH(B50,'Catálogo PCB'!$A$3:$A$102,0))&amp;"",""))</f>
        <v/>
      </c>
      <c r="D50" s="19"/>
      <c r="E50" s="17" t="s">
        <v>423</v>
      </c>
      <c r="F50" s="17" t="str">
        <f>IF(E50="","",IFERROR(INDEX('Catálogo PCB'!$G$3:$G$102,MATCH(E50,'Catálogo PCB'!$F$3:$F$102,0))&amp;"",""))</f>
        <v/>
      </c>
      <c r="G50" s="19"/>
      <c r="H50" s="18"/>
      <c r="I50" s="7"/>
      <c r="J50" s="8"/>
      <c r="K50" s="9"/>
      <c r="L50" s="10"/>
      <c r="M50" s="20"/>
      <c r="N50" s="6" t="s">
        <v>103</v>
      </c>
      <c r="O50" s="67" t="s">
        <v>475</v>
      </c>
      <c r="P50" s="68" t="s">
        <v>475</v>
      </c>
      <c r="Q50" s="68" t="s">
        <v>475</v>
      </c>
    </row>
    <row r="51" spans="1:17" ht="17.7" customHeight="1">
      <c r="A51" s="16" t="s">
        <v>130</v>
      </c>
      <c r="B51" s="17" t="str">
        <f t="shared" si="0"/>
        <v>TQT-R1-V30-0063</v>
      </c>
      <c r="C51" s="17" t="str">
        <f>IF(B51="","",IFERROR(INDEX('Catálogo PCB'!$B$3:$B$102,MATCH(B51,'Catálogo PCB'!$A$3:$A$102,0))&amp;"",""))</f>
        <v/>
      </c>
      <c r="D51" s="19"/>
      <c r="E51" s="17" t="s">
        <v>424</v>
      </c>
      <c r="F51" s="17" t="str">
        <f>IF(E51="","",IFERROR(INDEX('Catálogo PCB'!$G$3:$G$102,MATCH(E51,'Catálogo PCB'!$F$3:$F$102,0))&amp;"",""))</f>
        <v/>
      </c>
      <c r="G51" s="19"/>
      <c r="H51" s="18"/>
      <c r="I51" s="7"/>
      <c r="J51" s="8"/>
      <c r="K51" s="9"/>
      <c r="L51" s="10"/>
      <c r="M51" s="20"/>
      <c r="N51" s="6" t="s">
        <v>105</v>
      </c>
      <c r="O51" s="67" t="s">
        <v>475</v>
      </c>
      <c r="P51" s="68" t="s">
        <v>475</v>
      </c>
      <c r="Q51" s="68" t="s">
        <v>475</v>
      </c>
    </row>
    <row r="52" spans="1:17" ht="17.7" customHeight="1">
      <c r="A52" s="16" t="s">
        <v>132</v>
      </c>
      <c r="B52" s="17" t="str">
        <f t="shared" si="0"/>
        <v>TQT-R1-V30-0064</v>
      </c>
      <c r="C52" s="17" t="str">
        <f>IF(B52="","",IFERROR(INDEX('Catálogo PCB'!$B$3:$B$102,MATCH(B52,'Catálogo PCB'!$A$3:$A$102,0))&amp;"",""))</f>
        <v/>
      </c>
      <c r="D52" s="19"/>
      <c r="E52" s="17" t="s">
        <v>425</v>
      </c>
      <c r="F52" s="17" t="str">
        <f>IF(E52="","",IFERROR(INDEX('Catálogo PCB'!$G$3:$G$102,MATCH(E52,'Catálogo PCB'!$F$3:$F$102,0))&amp;"",""))</f>
        <v/>
      </c>
      <c r="G52" s="19"/>
      <c r="H52" s="18"/>
      <c r="I52" s="7"/>
      <c r="J52" s="8"/>
      <c r="K52" s="9"/>
      <c r="L52" s="10"/>
      <c r="M52" s="20"/>
      <c r="N52" s="6" t="s">
        <v>107</v>
      </c>
      <c r="O52" s="67" t="s">
        <v>475</v>
      </c>
      <c r="P52" s="68" t="s">
        <v>475</v>
      </c>
      <c r="Q52" s="68" t="s">
        <v>475</v>
      </c>
    </row>
    <row r="53" spans="1:17" ht="17.7" customHeight="1">
      <c r="A53" s="16" t="s">
        <v>134</v>
      </c>
      <c r="B53" s="17" t="str">
        <f t="shared" si="0"/>
        <v>TQT-R1-V30-0065</v>
      </c>
      <c r="C53" s="17" t="str">
        <f>IF(B53="","",IFERROR(INDEX('Catálogo PCB'!$B$3:$B$102,MATCH(B53,'Catálogo PCB'!$A$3:$A$102,0))&amp;"",""))</f>
        <v/>
      </c>
      <c r="D53" s="19"/>
      <c r="E53" s="17" t="s">
        <v>426</v>
      </c>
      <c r="F53" s="17" t="str">
        <f>IF(E53="","",IFERROR(INDEX('Catálogo PCB'!$G$3:$G$102,MATCH(E53,'Catálogo PCB'!$F$3:$F$102,0))&amp;"",""))</f>
        <v/>
      </c>
      <c r="G53" s="19"/>
      <c r="H53" s="18"/>
      <c r="I53" s="7"/>
      <c r="J53" s="8"/>
      <c r="K53" s="9"/>
      <c r="L53" s="10"/>
      <c r="M53" s="20"/>
      <c r="N53" s="6" t="s">
        <v>109</v>
      </c>
      <c r="O53" s="12"/>
    </row>
    <row r="54" spans="1:17" ht="17.7" customHeight="1">
      <c r="A54" s="16" t="s">
        <v>136</v>
      </c>
      <c r="B54" s="17" t="str">
        <f t="shared" si="0"/>
        <v>TQT-R1-V30-0066</v>
      </c>
      <c r="C54" s="17" t="str">
        <f>IF(B54="","",IFERROR(INDEX('Catálogo PCB'!$B$3:$B$102,MATCH(B54,'Catálogo PCB'!$A$3:$A$102,0))&amp;"",""))</f>
        <v/>
      </c>
      <c r="D54" s="19"/>
      <c r="E54" s="17" t="s">
        <v>427</v>
      </c>
      <c r="F54" s="17" t="str">
        <f>IF(E54="","",IFERROR(INDEX('Catálogo PCB'!$G$3:$G$102,MATCH(E54,'Catálogo PCB'!$F$3:$F$102,0))&amp;"",""))</f>
        <v/>
      </c>
      <c r="G54" s="19"/>
      <c r="H54" s="18"/>
      <c r="I54" s="7"/>
      <c r="J54" s="8"/>
      <c r="K54" s="9"/>
      <c r="L54" s="10"/>
      <c r="M54" s="20"/>
      <c r="N54" s="6" t="s">
        <v>111</v>
      </c>
      <c r="O54" s="12"/>
    </row>
    <row r="55" spans="1:17" ht="17.7" customHeight="1">
      <c r="A55" s="16" t="s">
        <v>138</v>
      </c>
      <c r="B55" s="17" t="str">
        <f t="shared" si="0"/>
        <v>TQT-R1-V30-0067</v>
      </c>
      <c r="C55" s="17" t="str">
        <f>IF(B55="","",IFERROR(INDEX('Catálogo PCB'!$B$3:$B$102,MATCH(B55,'Catálogo PCB'!$A$3:$A$102,0))&amp;"",""))</f>
        <v/>
      </c>
      <c r="D55" s="19"/>
      <c r="E55" s="17" t="s">
        <v>428</v>
      </c>
      <c r="F55" s="17" t="str">
        <f>IF(E55="","",IFERROR(INDEX('Catálogo PCB'!$G$3:$G$102,MATCH(E55,'Catálogo PCB'!$F$3:$F$102,0))&amp;"",""))</f>
        <v/>
      </c>
      <c r="G55" s="19"/>
      <c r="H55" s="18"/>
      <c r="I55" s="7"/>
      <c r="J55" s="8"/>
      <c r="K55" s="9"/>
      <c r="L55" s="10"/>
      <c r="M55" s="20"/>
      <c r="N55" s="6" t="s">
        <v>113</v>
      </c>
      <c r="O55" s="12"/>
    </row>
    <row r="56" spans="1:17" ht="17.7" customHeight="1">
      <c r="A56" s="16" t="s">
        <v>140</v>
      </c>
      <c r="B56" s="17" t="str">
        <f t="shared" si="0"/>
        <v>TQT-R1-V30-0068</v>
      </c>
      <c r="C56" s="17" t="str">
        <f>IF(B56="","",IFERROR(INDEX('Catálogo PCB'!$B$3:$B$102,MATCH(B56,'Catálogo PCB'!$A$3:$A$102,0))&amp;"",""))</f>
        <v/>
      </c>
      <c r="D56" s="19"/>
      <c r="E56" s="17" t="s">
        <v>429</v>
      </c>
      <c r="F56" s="17" t="str">
        <f>IF(E56="","",IFERROR(INDEX('Catálogo PCB'!$G$3:$G$102,MATCH(E56,'Catálogo PCB'!$F$3:$F$102,0))&amp;"",""))</f>
        <v/>
      </c>
      <c r="G56" s="19"/>
      <c r="H56" s="18"/>
      <c r="I56" s="7"/>
      <c r="J56" s="8"/>
      <c r="K56" s="9"/>
      <c r="L56" s="10"/>
      <c r="M56" s="20"/>
      <c r="N56" s="6" t="s">
        <v>115</v>
      </c>
      <c r="O56" s="12"/>
    </row>
    <row r="57" spans="1:17" ht="17.7" customHeight="1">
      <c r="A57" s="16" t="s">
        <v>142</v>
      </c>
      <c r="B57" s="17" t="str">
        <f t="shared" si="0"/>
        <v>TQT-R1-V30-0069</v>
      </c>
      <c r="C57" s="17" t="str">
        <f>IF(B57="","",IFERROR(INDEX('Catálogo PCB'!$B$3:$B$102,MATCH(B57,'Catálogo PCB'!$A$3:$A$102,0))&amp;"",""))</f>
        <v/>
      </c>
      <c r="D57" s="19"/>
      <c r="E57" s="17" t="s">
        <v>430</v>
      </c>
      <c r="F57" s="17" t="str">
        <f>IF(E57="","",IFERROR(INDEX('Catálogo PCB'!$G$3:$G$102,MATCH(E57,'Catálogo PCB'!$F$3:$F$102,0))&amp;"",""))</f>
        <v/>
      </c>
      <c r="G57" s="19"/>
      <c r="H57" s="18"/>
      <c r="I57" s="7"/>
      <c r="J57" s="8"/>
      <c r="K57" s="9"/>
      <c r="L57" s="10"/>
      <c r="M57" s="20"/>
      <c r="N57" s="6" t="s">
        <v>117</v>
      </c>
      <c r="O57" s="12"/>
    </row>
    <row r="58" spans="1:17" ht="17.7" customHeight="1">
      <c r="A58" s="16" t="s">
        <v>144</v>
      </c>
      <c r="B58" s="17" t="str">
        <f t="shared" si="0"/>
        <v>TQT-R1-V30-0070</v>
      </c>
      <c r="C58" s="17" t="str">
        <f>IF(B58="","",IFERROR(INDEX('Catálogo PCB'!$B$3:$B$102,MATCH(B58,'Catálogo PCB'!$A$3:$A$102,0))&amp;"",""))</f>
        <v/>
      </c>
      <c r="D58" s="19"/>
      <c r="E58" s="17" t="s">
        <v>431</v>
      </c>
      <c r="F58" s="17" t="str">
        <f>IF(E58="","",IFERROR(INDEX('Catálogo PCB'!$G$3:$G$102,MATCH(E58,'Catálogo PCB'!$F$3:$F$102,0))&amp;"",""))</f>
        <v/>
      </c>
      <c r="G58" s="19"/>
      <c r="H58" s="18"/>
      <c r="I58" s="7"/>
      <c r="J58" s="8"/>
      <c r="K58" s="9"/>
      <c r="L58" s="10"/>
      <c r="M58" s="20"/>
      <c r="N58" s="6" t="s">
        <v>119</v>
      </c>
      <c r="O58" s="12"/>
    </row>
    <row r="59" spans="1:17" ht="17.7" customHeight="1">
      <c r="A59" s="16" t="s">
        <v>146</v>
      </c>
      <c r="B59" s="17" t="str">
        <f t="shared" si="0"/>
        <v>TQT-R1-V30-0071</v>
      </c>
      <c r="C59" s="17" t="str">
        <f>IF(B59="","",IFERROR(INDEX('Catálogo PCB'!$B$3:$B$102,MATCH(B59,'Catálogo PCB'!$A$3:$A$102,0))&amp;"",""))</f>
        <v/>
      </c>
      <c r="D59" s="19"/>
      <c r="E59" s="17" t="s">
        <v>432</v>
      </c>
      <c r="F59" s="17" t="str">
        <f>IF(E59="","",IFERROR(INDEX('Catálogo PCB'!$G$3:$G$102,MATCH(E59,'Catálogo PCB'!$F$3:$F$102,0))&amp;"",""))</f>
        <v/>
      </c>
      <c r="G59" s="19"/>
      <c r="H59" s="18"/>
      <c r="I59" s="7"/>
      <c r="J59" s="8"/>
      <c r="K59" s="9"/>
      <c r="L59" s="10"/>
      <c r="M59" s="20"/>
      <c r="N59" s="6" t="s">
        <v>121</v>
      </c>
      <c r="O59" s="12"/>
    </row>
    <row r="60" spans="1:17" ht="17.7" customHeight="1">
      <c r="A60" s="16" t="s">
        <v>148</v>
      </c>
      <c r="B60" s="17" t="str">
        <f t="shared" si="0"/>
        <v>TQT-R1-V30-0072</v>
      </c>
      <c r="C60" s="17" t="str">
        <f>IF(B60="","",IFERROR(INDEX('Catálogo PCB'!$B$3:$B$102,MATCH(B60,'Catálogo PCB'!$A$3:$A$102,0))&amp;"",""))</f>
        <v/>
      </c>
      <c r="D60" s="19"/>
      <c r="E60" s="17" t="s">
        <v>433</v>
      </c>
      <c r="F60" s="17" t="str">
        <f>IF(E60="","",IFERROR(INDEX('Catálogo PCB'!$G$3:$G$102,MATCH(E60,'Catálogo PCB'!$F$3:$F$102,0))&amp;"",""))</f>
        <v/>
      </c>
      <c r="G60" s="19"/>
      <c r="H60" s="18"/>
      <c r="I60" s="7"/>
      <c r="J60" s="8"/>
      <c r="K60" s="9"/>
      <c r="L60" s="10"/>
      <c r="M60" s="20"/>
      <c r="N60" s="6" t="s">
        <v>123</v>
      </c>
      <c r="O60" s="12"/>
    </row>
    <row r="61" spans="1:17" ht="17.7" customHeight="1">
      <c r="A61" s="16" t="s">
        <v>150</v>
      </c>
      <c r="B61" s="17" t="str">
        <f t="shared" si="0"/>
        <v>TQT-R1-V30-0073</v>
      </c>
      <c r="C61" s="17" t="str">
        <f>IF(B61="","",IFERROR(INDEX('Catálogo PCB'!$B$3:$B$102,MATCH(B61,'Catálogo PCB'!$A$3:$A$102,0))&amp;"",""))</f>
        <v/>
      </c>
      <c r="D61" s="19"/>
      <c r="E61" s="17" t="s">
        <v>434</v>
      </c>
      <c r="F61" s="17" t="str">
        <f>IF(E61="","",IFERROR(INDEX('Catálogo PCB'!$G$3:$G$102,MATCH(E61,'Catálogo PCB'!$F$3:$F$102,0))&amp;"",""))</f>
        <v/>
      </c>
      <c r="G61" s="19"/>
      <c r="H61" s="18"/>
      <c r="I61" s="7"/>
      <c r="J61" s="8"/>
      <c r="K61" s="9"/>
      <c r="L61" s="10"/>
      <c r="M61" s="20"/>
      <c r="N61" s="6" t="s">
        <v>125</v>
      </c>
      <c r="O61" s="12"/>
    </row>
    <row r="62" spans="1:17" ht="17.7" customHeight="1">
      <c r="A62" s="16" t="s">
        <v>152</v>
      </c>
      <c r="B62" s="17" t="str">
        <f t="shared" si="0"/>
        <v>TQT-R1-V30-0074</v>
      </c>
      <c r="C62" s="17" t="str">
        <f>IF(B62="","",IFERROR(INDEX('Catálogo PCB'!$B$3:$B$102,MATCH(B62,'Catálogo PCB'!$A$3:$A$102,0))&amp;"",""))</f>
        <v/>
      </c>
      <c r="D62" s="19"/>
      <c r="E62" s="17" t="s">
        <v>435</v>
      </c>
      <c r="F62" s="17" t="str">
        <f>IF(E62="","",IFERROR(INDEX('Catálogo PCB'!$G$3:$G$102,MATCH(E62,'Catálogo PCB'!$F$3:$F$102,0))&amp;"",""))</f>
        <v/>
      </c>
      <c r="G62" s="19"/>
      <c r="H62" s="18"/>
      <c r="I62" s="7"/>
      <c r="J62" s="8"/>
      <c r="K62" s="9"/>
      <c r="L62" s="10"/>
      <c r="M62" s="20"/>
      <c r="N62" s="6" t="s">
        <v>127</v>
      </c>
      <c r="O62" s="12"/>
    </row>
    <row r="63" spans="1:17" ht="17.7" customHeight="1">
      <c r="A63" s="16" t="s">
        <v>155</v>
      </c>
      <c r="B63" s="17" t="str">
        <f t="shared" si="0"/>
        <v>TQT-R1-V30-0076</v>
      </c>
      <c r="C63" s="17" t="str">
        <f>IF(B63="","",IFERROR(INDEX('Catálogo PCB'!$B$3:$B$102,MATCH(B63,'Catálogo PCB'!$A$3:$A$102,0))&amp;"",""))</f>
        <v/>
      </c>
      <c r="D63" s="19"/>
      <c r="E63" s="17" t="s">
        <v>437</v>
      </c>
      <c r="F63" s="17" t="str">
        <f>IF(E63="","",IFERROR(INDEX('Catálogo PCB'!$G$3:$G$102,MATCH(E63,'Catálogo PCB'!$F$3:$F$102,0))&amp;"",""))</f>
        <v/>
      </c>
      <c r="G63" s="19"/>
      <c r="H63" s="18"/>
      <c r="I63" s="7"/>
      <c r="J63" s="8"/>
      <c r="K63" s="9"/>
      <c r="L63" s="10"/>
      <c r="M63" s="20"/>
      <c r="N63" s="6" t="s">
        <v>129</v>
      </c>
      <c r="O63" s="12"/>
    </row>
    <row r="64" spans="1:17" ht="17.7" customHeight="1">
      <c r="A64" s="16" t="s">
        <v>157</v>
      </c>
      <c r="B64" s="17" t="str">
        <f t="shared" si="0"/>
        <v>TQT-R1-V30-0077</v>
      </c>
      <c r="C64" s="17" t="str">
        <f>IF(B64="","",IFERROR(INDEX('Catálogo PCB'!$B$3:$B$102,MATCH(B64,'Catálogo PCB'!$A$3:$A$102,0))&amp;"",""))</f>
        <v/>
      </c>
      <c r="D64" s="19"/>
      <c r="E64" s="17" t="s">
        <v>438</v>
      </c>
      <c r="F64" s="17" t="str">
        <f>IF(E64="","",IFERROR(INDEX('Catálogo PCB'!$G$3:$G$102,MATCH(E64,'Catálogo PCB'!$F$3:$F$102,0))&amp;"",""))</f>
        <v/>
      </c>
      <c r="G64" s="19"/>
      <c r="H64" s="18"/>
      <c r="I64" s="7"/>
      <c r="J64" s="8"/>
      <c r="K64" s="9"/>
      <c r="L64" s="10"/>
      <c r="M64" s="20"/>
      <c r="N64" s="6" t="s">
        <v>131</v>
      </c>
      <c r="O64" s="12"/>
    </row>
    <row r="65" spans="1:15" ht="17.7" customHeight="1">
      <c r="A65" s="16" t="s">
        <v>160</v>
      </c>
      <c r="B65" s="17" t="str">
        <f t="shared" si="0"/>
        <v>TQT-R1-V30-0079</v>
      </c>
      <c r="C65" s="17" t="str">
        <f>IF(B65="","",IFERROR(INDEX('Catálogo PCB'!$B$3:$B$102,MATCH(B65,'Catálogo PCB'!$A$3:$A$102,0))&amp;"",""))</f>
        <v/>
      </c>
      <c r="D65" s="19"/>
      <c r="E65" s="17" t="s">
        <v>440</v>
      </c>
      <c r="F65" s="17" t="str">
        <f>IF(E65="","",IFERROR(INDEX('Catálogo PCB'!$G$3:$G$102,MATCH(E65,'Catálogo PCB'!$F$3:$F$102,0))&amp;"",""))</f>
        <v/>
      </c>
      <c r="G65" s="19"/>
      <c r="H65" s="18"/>
      <c r="I65" s="7"/>
      <c r="J65" s="8"/>
      <c r="K65" s="9"/>
      <c r="L65" s="10"/>
      <c r="M65" s="20"/>
      <c r="N65" s="6" t="s">
        <v>133</v>
      </c>
      <c r="O65" s="12"/>
    </row>
    <row r="66" spans="1:15" ht="17.7" customHeight="1">
      <c r="A66" s="16" t="s">
        <v>162</v>
      </c>
      <c r="B66" s="17" t="str">
        <f t="shared" ref="B66:B101" si="1">IF(A66="","","TQT-R1-V30-"&amp;TEXT(VALUE(A66),"0000"))</f>
        <v>TQT-R1-V30-0080</v>
      </c>
      <c r="C66" s="17" t="str">
        <f>IF(B66="","",IFERROR(INDEX('Catálogo PCB'!$B$3:$B$102,MATCH(B66,'Catálogo PCB'!$A$3:$A$102,0))&amp;"",""))</f>
        <v/>
      </c>
      <c r="D66" s="19"/>
      <c r="E66" s="17" t="s">
        <v>441</v>
      </c>
      <c r="F66" s="17" t="str">
        <f>IF(E66="","",IFERROR(INDEX('Catálogo PCB'!$G$3:$G$102,MATCH(E66,'Catálogo PCB'!$F$3:$F$102,0))&amp;"",""))</f>
        <v/>
      </c>
      <c r="G66" s="19"/>
      <c r="H66" s="18"/>
      <c r="I66" s="7"/>
      <c r="J66" s="8"/>
      <c r="K66" s="9"/>
      <c r="L66" s="10"/>
      <c r="M66" s="20"/>
      <c r="N66" s="6" t="s">
        <v>135</v>
      </c>
      <c r="O66" s="12"/>
    </row>
    <row r="67" spans="1:15" ht="17.7" customHeight="1">
      <c r="A67" s="16" t="s">
        <v>164</v>
      </c>
      <c r="B67" s="17" t="str">
        <f t="shared" si="1"/>
        <v>TQT-R1-V30-0081</v>
      </c>
      <c r="C67" s="17" t="str">
        <f>IF(B67="","",IFERROR(INDEX('Catálogo PCB'!$B$3:$B$102,MATCH(B67,'Catálogo PCB'!$A$3:$A$102,0))&amp;"",""))</f>
        <v/>
      </c>
      <c r="D67" s="19"/>
      <c r="E67" s="17" t="s">
        <v>442</v>
      </c>
      <c r="F67" s="17" t="str">
        <f>IF(E67="","",IFERROR(INDEX('Catálogo PCB'!$G$3:$G$102,MATCH(E67,'Catálogo PCB'!$F$3:$F$102,0))&amp;"",""))</f>
        <v/>
      </c>
      <c r="G67" s="19"/>
      <c r="H67" s="18"/>
      <c r="I67" s="7"/>
      <c r="J67" s="8"/>
      <c r="K67" s="9"/>
      <c r="L67" s="10"/>
      <c r="M67" s="20"/>
      <c r="N67" s="6" t="s">
        <v>137</v>
      </c>
      <c r="O67" s="12"/>
    </row>
    <row r="68" spans="1:15" ht="17.7" customHeight="1">
      <c r="A68" s="16" t="s">
        <v>167</v>
      </c>
      <c r="B68" s="17" t="str">
        <f t="shared" si="1"/>
        <v>TQT-R1-V30-0083</v>
      </c>
      <c r="C68" s="17" t="str">
        <f>IF(B68="","",IFERROR(INDEX('Catálogo PCB'!$B$3:$B$102,MATCH(B68,'Catálogo PCB'!$A$3:$A$102,0))&amp;"",""))</f>
        <v/>
      </c>
      <c r="D68" s="19"/>
      <c r="E68" s="17" t="s">
        <v>444</v>
      </c>
      <c r="F68" s="17" t="str">
        <f>IF(E68="","",IFERROR(INDEX('Catálogo PCB'!$G$3:$G$102,MATCH(E68,'Catálogo PCB'!$F$3:$F$102,0))&amp;"",""))</f>
        <v/>
      </c>
      <c r="G68" s="19"/>
      <c r="H68" s="18"/>
      <c r="I68" s="7"/>
      <c r="J68" s="8"/>
      <c r="K68" s="9"/>
      <c r="L68" s="10"/>
      <c r="M68" s="20"/>
      <c r="N68" s="6" t="s">
        <v>139</v>
      </c>
      <c r="O68" s="12"/>
    </row>
    <row r="69" spans="1:15" ht="17.7" customHeight="1">
      <c r="A69" s="16" t="s">
        <v>169</v>
      </c>
      <c r="B69" s="17" t="str">
        <f t="shared" si="1"/>
        <v>TQT-R1-V30-0084</v>
      </c>
      <c r="C69" s="17" t="str">
        <f>IF(B69="","",IFERROR(INDEX('Catálogo PCB'!$B$3:$B$102,MATCH(B69,'Catálogo PCB'!$A$3:$A$102,0))&amp;"",""))</f>
        <v/>
      </c>
      <c r="D69" s="19"/>
      <c r="E69" s="17" t="s">
        <v>445</v>
      </c>
      <c r="F69" s="17" t="str">
        <f>IF(E69="","",IFERROR(INDEX('Catálogo PCB'!$G$3:$G$102,MATCH(E69,'Catálogo PCB'!$F$3:$F$102,0))&amp;"",""))</f>
        <v/>
      </c>
      <c r="G69" s="19"/>
      <c r="H69" s="18"/>
      <c r="I69" s="7"/>
      <c r="J69" s="8"/>
      <c r="K69" s="9"/>
      <c r="L69" s="10"/>
      <c r="M69" s="20"/>
      <c r="N69" s="6" t="s">
        <v>141</v>
      </c>
      <c r="O69" s="12"/>
    </row>
    <row r="70" spans="1:15" ht="17.7" customHeight="1">
      <c r="A70" s="16" t="s">
        <v>171</v>
      </c>
      <c r="B70" s="17" t="str">
        <f t="shared" si="1"/>
        <v>TQT-R1-V30-0085</v>
      </c>
      <c r="C70" s="17" t="str">
        <f>IF(B70="","",IFERROR(INDEX('Catálogo PCB'!$B$3:$B$102,MATCH(B70,'Catálogo PCB'!$A$3:$A$102,0))&amp;"",""))</f>
        <v/>
      </c>
      <c r="D70" s="19"/>
      <c r="E70" s="17" t="s">
        <v>446</v>
      </c>
      <c r="F70" s="17" t="str">
        <f>IF(E70="","",IFERROR(INDEX('Catálogo PCB'!$G$3:$G$102,MATCH(E70,'Catálogo PCB'!$F$3:$F$102,0))&amp;"",""))</f>
        <v/>
      </c>
      <c r="G70" s="19"/>
      <c r="H70" s="18"/>
      <c r="I70" s="7"/>
      <c r="J70" s="8"/>
      <c r="K70" s="9"/>
      <c r="L70" s="10"/>
      <c r="M70" s="20"/>
      <c r="N70" s="6" t="s">
        <v>143</v>
      </c>
      <c r="O70" s="12"/>
    </row>
    <row r="71" spans="1:15" ht="17.7" customHeight="1">
      <c r="A71" s="16" t="s">
        <v>173</v>
      </c>
      <c r="B71" s="17" t="str">
        <f t="shared" si="1"/>
        <v>TQT-R1-V30-0086</v>
      </c>
      <c r="C71" s="17" t="str">
        <f>IF(B71="","",IFERROR(INDEX('Catálogo PCB'!$B$3:$B$102,MATCH(B71,'Catálogo PCB'!$A$3:$A$102,0))&amp;"",""))</f>
        <v/>
      </c>
      <c r="D71" s="19"/>
      <c r="E71" s="17" t="s">
        <v>447</v>
      </c>
      <c r="F71" s="17" t="str">
        <f>IF(E71="","",IFERROR(INDEX('Catálogo PCB'!$G$3:$G$102,MATCH(E71,'Catálogo PCB'!$F$3:$F$102,0))&amp;"",""))</f>
        <v/>
      </c>
      <c r="G71" s="19"/>
      <c r="H71" s="18"/>
      <c r="I71" s="7"/>
      <c r="J71" s="8"/>
      <c r="K71" s="9"/>
      <c r="L71" s="10"/>
      <c r="M71" s="20"/>
      <c r="N71" s="6" t="s">
        <v>145</v>
      </c>
      <c r="O71" s="12"/>
    </row>
    <row r="72" spans="1:15" ht="17.7" customHeight="1">
      <c r="A72" s="16" t="s">
        <v>175</v>
      </c>
      <c r="B72" s="17" t="str">
        <f t="shared" si="1"/>
        <v>TQT-R1-V30-0087</v>
      </c>
      <c r="C72" s="17" t="str">
        <f>IF(B72="","",IFERROR(INDEX('Catálogo PCB'!$B$3:$B$102,MATCH(B72,'Catálogo PCB'!$A$3:$A$102,0))&amp;"",""))</f>
        <v/>
      </c>
      <c r="D72" s="19"/>
      <c r="E72" s="17" t="s">
        <v>448</v>
      </c>
      <c r="F72" s="17" t="str">
        <f>IF(E72="","",IFERROR(INDEX('Catálogo PCB'!$G$3:$G$102,MATCH(E72,'Catálogo PCB'!$F$3:$F$102,0))&amp;"",""))</f>
        <v/>
      </c>
      <c r="G72" s="19"/>
      <c r="H72" s="18"/>
      <c r="I72" s="7"/>
      <c r="J72" s="8"/>
      <c r="K72" s="9"/>
      <c r="L72" s="10"/>
      <c r="M72" s="20"/>
      <c r="N72" s="6" t="s">
        <v>147</v>
      </c>
      <c r="O72" s="12"/>
    </row>
    <row r="73" spans="1:15" ht="17.7" customHeight="1">
      <c r="A73" s="16" t="s">
        <v>178</v>
      </c>
      <c r="B73" s="17" t="str">
        <f t="shared" si="1"/>
        <v>TQT-R1-V30-0089</v>
      </c>
      <c r="C73" s="17" t="str">
        <f>IF(B73="","",IFERROR(INDEX('Catálogo PCB'!$B$3:$B$102,MATCH(B73,'Catálogo PCB'!$A$3:$A$102,0))&amp;"",""))</f>
        <v/>
      </c>
      <c r="D73" s="19"/>
      <c r="E73" s="17" t="s">
        <v>450</v>
      </c>
      <c r="F73" s="17" t="str">
        <f>IF(E73="","",IFERROR(INDEX('Catálogo PCB'!$G$3:$G$102,MATCH(E73,'Catálogo PCB'!$F$3:$F$102,0))&amp;"",""))</f>
        <v/>
      </c>
      <c r="G73" s="19"/>
      <c r="H73" s="18"/>
      <c r="I73" s="7"/>
      <c r="J73" s="8"/>
      <c r="K73" s="9"/>
      <c r="L73" s="10"/>
      <c r="M73" s="20"/>
      <c r="N73" s="6" t="s">
        <v>149</v>
      </c>
      <c r="O73" s="12"/>
    </row>
    <row r="74" spans="1:15" ht="17.7" customHeight="1">
      <c r="A74" s="16" t="s">
        <v>182</v>
      </c>
      <c r="B74" s="17" t="str">
        <f t="shared" si="1"/>
        <v>TQT-R1-V30-0092</v>
      </c>
      <c r="C74" s="17" t="str">
        <f>IF(B74="","",IFERROR(INDEX('Catálogo PCB'!$B$3:$B$102,MATCH(B74,'Catálogo PCB'!$A$3:$A$102,0))&amp;"",""))</f>
        <v/>
      </c>
      <c r="D74" s="19"/>
      <c r="E74" s="17" t="s">
        <v>453</v>
      </c>
      <c r="F74" s="17" t="str">
        <f>IF(E74="","",IFERROR(INDEX('Catálogo PCB'!$G$3:$G$102,MATCH(E74,'Catálogo PCB'!$F$3:$F$102,0))&amp;"",""))</f>
        <v/>
      </c>
      <c r="G74" s="19"/>
      <c r="H74" s="18"/>
      <c r="I74" s="7"/>
      <c r="J74" s="8"/>
      <c r="K74" s="9"/>
      <c r="L74" s="10"/>
      <c r="M74" s="20"/>
      <c r="N74" s="6" t="s">
        <v>151</v>
      </c>
      <c r="O74" s="12"/>
    </row>
    <row r="75" spans="1:15" ht="17.7" customHeight="1">
      <c r="A75" s="16" t="s">
        <v>184</v>
      </c>
      <c r="B75" s="17" t="str">
        <f t="shared" si="1"/>
        <v>TQT-R1-V30-0093</v>
      </c>
      <c r="C75" s="17" t="str">
        <f>IF(B75="","",IFERROR(INDEX('Catálogo PCB'!$B$3:$B$102,MATCH(B75,'Catálogo PCB'!$A$3:$A$102,0))&amp;"",""))</f>
        <v/>
      </c>
      <c r="D75" s="19"/>
      <c r="E75" s="17" t="s">
        <v>454</v>
      </c>
      <c r="F75" s="17" t="str">
        <f>IF(E75="","",IFERROR(INDEX('Catálogo PCB'!$G$3:$G$102,MATCH(E75,'Catálogo PCB'!$F$3:$F$102,0))&amp;"",""))</f>
        <v/>
      </c>
      <c r="G75" s="19"/>
      <c r="H75" s="18"/>
      <c r="I75" s="7"/>
      <c r="J75" s="8"/>
      <c r="K75" s="9"/>
      <c r="L75" s="10"/>
      <c r="M75" s="20"/>
      <c r="N75" s="6" t="s">
        <v>153</v>
      </c>
      <c r="O75" s="12"/>
    </row>
    <row r="76" spans="1:15" ht="17.7" customHeight="1">
      <c r="A76" s="16" t="s">
        <v>186</v>
      </c>
      <c r="B76" s="17" t="str">
        <f t="shared" si="1"/>
        <v>TQT-R1-V30-0094</v>
      </c>
      <c r="C76" s="17" t="str">
        <f>IF(B76="","",IFERROR(INDEX('Catálogo PCB'!$B$3:$B$102,MATCH(B76,'Catálogo PCB'!$A$3:$A$102,0))&amp;"",""))</f>
        <v/>
      </c>
      <c r="D76" s="19"/>
      <c r="E76" s="17" t="s">
        <v>455</v>
      </c>
      <c r="F76" s="17" t="str">
        <f>IF(E76="","",IFERROR(INDEX('Catálogo PCB'!$G$3:$G$102,MATCH(E76,'Catálogo PCB'!$F$3:$F$102,0))&amp;"",""))</f>
        <v/>
      </c>
      <c r="G76" s="19"/>
      <c r="H76" s="18"/>
      <c r="I76" s="7"/>
      <c r="J76" s="8"/>
      <c r="K76" s="9"/>
      <c r="L76" s="10"/>
      <c r="M76" s="20"/>
      <c r="N76" s="6" t="s">
        <v>154</v>
      </c>
      <c r="O76" s="12"/>
    </row>
    <row r="77" spans="1:15" ht="17.7" customHeight="1">
      <c r="A77" s="16" t="s">
        <v>191</v>
      </c>
      <c r="B77" s="17" t="str">
        <f t="shared" si="1"/>
        <v>TQT-R1-V30-0098</v>
      </c>
      <c r="C77" s="17" t="str">
        <f>IF(B77="","",IFERROR(INDEX('Catálogo PCB'!$B$3:$B$102,MATCH(B77,'Catálogo PCB'!$A$3:$A$102,0))&amp;"",""))</f>
        <v/>
      </c>
      <c r="D77" s="19"/>
      <c r="E77" s="17" t="s">
        <v>459</v>
      </c>
      <c r="F77" s="17" t="str">
        <f>IF(E77="","",IFERROR(INDEX('Catálogo PCB'!$G$3:$G$102,MATCH(E77,'Catálogo PCB'!$F$3:$F$102,0))&amp;"",""))</f>
        <v/>
      </c>
      <c r="G77" s="19"/>
      <c r="H77" s="18"/>
      <c r="I77" s="7"/>
      <c r="J77" s="8"/>
      <c r="K77" s="9"/>
      <c r="L77" s="10"/>
      <c r="M77" s="20"/>
      <c r="N77" s="6" t="s">
        <v>156</v>
      </c>
      <c r="O77" s="12"/>
    </row>
    <row r="78" spans="1:15" ht="17.7" customHeight="1">
      <c r="A78" s="16" t="s">
        <v>193</v>
      </c>
      <c r="B78" s="17" t="str">
        <f t="shared" si="1"/>
        <v>TQT-R1-V30-0099</v>
      </c>
      <c r="C78" s="17" t="str">
        <f>IF(B78="","",IFERROR(INDEX('Catálogo PCB'!$B$3:$B$102,MATCH(B78,'Catálogo PCB'!$A$3:$A$102,0))&amp;"",""))</f>
        <v/>
      </c>
      <c r="D78" s="19"/>
      <c r="E78" s="17" t="s">
        <v>460</v>
      </c>
      <c r="F78" s="17" t="str">
        <f>IF(E78="","",IFERROR(INDEX('Catálogo PCB'!$G$3:$G$102,MATCH(E78,'Catálogo PCB'!$F$3:$F$102,0))&amp;"",""))</f>
        <v/>
      </c>
      <c r="G78" s="19"/>
      <c r="H78" s="18"/>
      <c r="I78" s="7"/>
      <c r="J78" s="8"/>
      <c r="K78" s="9"/>
      <c r="L78" s="10"/>
      <c r="M78" s="20"/>
      <c r="N78" s="6" t="s">
        <v>158</v>
      </c>
      <c r="O78" s="12"/>
    </row>
    <row r="79" spans="1:15" ht="17.7" customHeight="1">
      <c r="A79" s="16" t="s">
        <v>195</v>
      </c>
      <c r="B79" s="17" t="str">
        <f t="shared" si="1"/>
        <v>TQT-R1-V30-0100</v>
      </c>
      <c r="C79" s="17" t="str">
        <f>IF(B79="","",IFERROR(INDEX('Catálogo PCB'!$B$3:$B$102,MATCH(B79,'Catálogo PCB'!$A$3:$A$102,0))&amp;"",""))</f>
        <v/>
      </c>
      <c r="D79" s="19"/>
      <c r="E79" s="17" t="s">
        <v>461</v>
      </c>
      <c r="F79" s="17" t="str">
        <f>IF(E79="","",IFERROR(INDEX('Catálogo PCB'!$G$3:$G$102,MATCH(E79,'Catálogo PCB'!$F$3:$F$102,0))&amp;"",""))</f>
        <v/>
      </c>
      <c r="G79" s="19"/>
      <c r="H79" s="18"/>
      <c r="I79" s="7"/>
      <c r="J79" s="8"/>
      <c r="K79" s="9"/>
      <c r="L79" s="10"/>
      <c r="M79" s="20"/>
      <c r="N79" s="6" t="s">
        <v>159</v>
      </c>
      <c r="O79" s="12"/>
    </row>
    <row r="80" spans="1:15" ht="17.7" customHeight="1">
      <c r="A80" s="16" t="s">
        <v>256</v>
      </c>
      <c r="B80" s="17" t="str">
        <f t="shared" si="1"/>
        <v>TQT-R1-V30-0101</v>
      </c>
      <c r="C80" s="17" t="str">
        <f>IF(B80="","",IFERROR(INDEX('Catálogo PCB'!$B$3:$B$102,MATCH(B80,'Catálogo PCB'!$A$3:$A$102,0))&amp;"",""))</f>
        <v/>
      </c>
      <c r="D80" s="19"/>
      <c r="E80" s="17" t="s">
        <v>462</v>
      </c>
      <c r="F80" s="17" t="str">
        <f>IF(E80="","",IFERROR(INDEX('Catálogo PCB'!$G$3:$G$102,MATCH(E80,'Catálogo PCB'!$F$3:$F$102,0))&amp;"",""))</f>
        <v/>
      </c>
      <c r="G80" s="19"/>
      <c r="H80" s="18"/>
      <c r="I80" s="7"/>
      <c r="J80" s="8"/>
      <c r="K80" s="9"/>
      <c r="L80" s="10"/>
      <c r="M80" s="20"/>
      <c r="N80" s="6" t="s">
        <v>161</v>
      </c>
      <c r="O80" s="12"/>
    </row>
    <row r="81" spans="1:15" ht="17.7" customHeight="1">
      <c r="A81" s="16" t="s">
        <v>257</v>
      </c>
      <c r="B81" s="17" t="str">
        <f t="shared" si="1"/>
        <v>TQT-R1-V30-0103</v>
      </c>
      <c r="C81" s="17" t="str">
        <f>IF(B81="","",IFERROR(INDEX('Catálogo PCB'!$B$3:$B$102,MATCH(B81,'Catálogo PCB'!$A$3:$A$102,0))&amp;"",""))</f>
        <v/>
      </c>
      <c r="D81" s="19"/>
      <c r="E81" s="17" t="s">
        <v>464</v>
      </c>
      <c r="F81" s="17" t="str">
        <f>IF(E81="","",IFERROR(INDEX('Catálogo PCB'!$G$3:$G$102,MATCH(E81,'Catálogo PCB'!$F$3:$F$102,0))&amp;"",""))</f>
        <v/>
      </c>
      <c r="G81" s="19"/>
      <c r="H81" s="18"/>
      <c r="I81" s="7"/>
      <c r="J81" s="8"/>
      <c r="K81" s="9"/>
      <c r="L81" s="10"/>
      <c r="M81" s="20"/>
      <c r="N81" s="6" t="s">
        <v>163</v>
      </c>
      <c r="O81" s="12"/>
    </row>
    <row r="82" spans="1:15" ht="17.7" customHeight="1">
      <c r="A82" s="16" t="s">
        <v>258</v>
      </c>
      <c r="B82" s="17" t="str">
        <f t="shared" si="1"/>
        <v>TQT-R1-V30-0104</v>
      </c>
      <c r="C82" s="17" t="str">
        <f>IF(B82="","",IFERROR(INDEX('Catálogo PCB'!$B$3:$B$102,MATCH(B82,'Catálogo PCB'!$A$3:$A$102,0))&amp;"",""))</f>
        <v/>
      </c>
      <c r="D82" s="19"/>
      <c r="E82" s="17" t="s">
        <v>465</v>
      </c>
      <c r="F82" s="17" t="str">
        <f>IF(E82="","",IFERROR(INDEX('Catálogo PCB'!$G$3:$G$102,MATCH(E82,'Catálogo PCB'!$F$3:$F$102,0))&amp;"",""))</f>
        <v/>
      </c>
      <c r="G82" s="19"/>
      <c r="H82" s="18"/>
      <c r="I82" s="7"/>
      <c r="J82" s="8"/>
      <c r="K82" s="9"/>
      <c r="L82" s="10"/>
      <c r="M82" s="20"/>
      <c r="N82" s="6" t="s">
        <v>165</v>
      </c>
      <c r="O82" s="12"/>
    </row>
    <row r="83" spans="1:15" ht="17.7" customHeight="1">
      <c r="A83" s="16" t="s">
        <v>259</v>
      </c>
      <c r="B83" s="17" t="str">
        <f t="shared" si="1"/>
        <v>TQT-R1-V30-0105</v>
      </c>
      <c r="C83" s="17" t="str">
        <f>IF(B83="","",IFERROR(INDEX('Catálogo PCB'!$B$3:$B$102,MATCH(B83,'Catálogo PCB'!$A$3:$A$102,0))&amp;"",""))</f>
        <v/>
      </c>
      <c r="D83" s="19"/>
      <c r="E83" s="17" t="s">
        <v>466</v>
      </c>
      <c r="F83" s="17" t="str">
        <f>IF(E83="","",IFERROR(INDEX('Catálogo PCB'!$G$3:$G$102,MATCH(E83,'Catálogo PCB'!$F$3:$F$102,0))&amp;"",""))</f>
        <v/>
      </c>
      <c r="G83" s="19"/>
      <c r="H83" s="18"/>
      <c r="I83" s="7"/>
      <c r="J83" s="8"/>
      <c r="K83" s="9"/>
      <c r="L83" s="10"/>
      <c r="M83" s="20"/>
      <c r="N83" s="6" t="s">
        <v>166</v>
      </c>
      <c r="O83" s="12"/>
    </row>
    <row r="84" spans="1:15" ht="17.7" customHeight="1">
      <c r="A84" s="16" t="s">
        <v>260</v>
      </c>
      <c r="B84" s="17" t="str">
        <f t="shared" si="1"/>
        <v>TQT-R1-V30-0117</v>
      </c>
      <c r="C84" s="17" t="str">
        <f>IF(B84="","",IFERROR(INDEX('Catálogo PCB'!$B$3:$B$102,MATCH(B84,'Catálogo PCB'!$A$3:$A$102,0))&amp;"",""))</f>
        <v/>
      </c>
      <c r="D84" s="19"/>
      <c r="E84" s="17" t="s">
        <v>473</v>
      </c>
      <c r="F84" s="17" t="str">
        <f>IF(E84="","",IFERROR(INDEX('Catálogo PCB'!$G$3:$G$102,MATCH(E84,'Catálogo PCB'!$F$3:$F$102,0))&amp;"",""))</f>
        <v/>
      </c>
      <c r="G84" s="19"/>
      <c r="H84" s="18"/>
      <c r="I84" s="7"/>
      <c r="J84" s="8"/>
      <c r="K84" s="9"/>
      <c r="L84" s="10"/>
      <c r="M84" s="20"/>
      <c r="N84" s="6" t="s">
        <v>168</v>
      </c>
      <c r="O84" s="12"/>
    </row>
    <row r="85" spans="1:15" ht="17.7" customHeight="1">
      <c r="A85" s="16" t="s">
        <v>261</v>
      </c>
      <c r="B85" s="17" t="str">
        <f t="shared" si="1"/>
        <v>TQT-R1-V30-0118</v>
      </c>
      <c r="C85" s="17" t="str">
        <f>IF(B85="","",IFERROR(INDEX('Catálogo PCB'!$B$3:$B$102,MATCH(B85,'Catálogo PCB'!$A$3:$A$102,0))&amp;"",""))</f>
        <v/>
      </c>
      <c r="D85" s="19"/>
      <c r="E85" s="17" t="s">
        <v>474</v>
      </c>
      <c r="F85" s="17" t="str">
        <f>IF(E85="","",IFERROR(INDEX('Catálogo PCB'!$G$3:$G$102,MATCH(E85,'Catálogo PCB'!$F$3:$F$102,0))&amp;"",""))</f>
        <v/>
      </c>
      <c r="G85" s="19"/>
      <c r="H85" s="18"/>
      <c r="I85" s="7"/>
      <c r="J85" s="8"/>
      <c r="K85" s="9"/>
      <c r="L85" s="10"/>
      <c r="M85" s="20"/>
      <c r="N85" s="6" t="s">
        <v>170</v>
      </c>
      <c r="O85" s="12"/>
    </row>
    <row r="86" spans="1:15" ht="17.7" customHeight="1">
      <c r="A86" s="16" t="s">
        <v>40</v>
      </c>
      <c r="B86" s="17" t="str">
        <f t="shared" si="1"/>
        <v>TQT-R1-V30-0018</v>
      </c>
      <c r="C86" s="17" t="str">
        <f>IF(B86="","",IFERROR(INDEX('Catálogo PCB'!$B$3:$B$102,MATCH(B86,'Catálogo PCB'!$A$3:$A$102,0))&amp;"",""))</f>
        <v/>
      </c>
      <c r="D86" s="19"/>
      <c r="E86" s="17" t="s">
        <v>436</v>
      </c>
      <c r="F86" s="17" t="str">
        <f>IF(E86="","",IFERROR(INDEX('Catálogo PCB'!$G$3:$G$102,MATCH(E86,'Catálogo PCB'!$F$3:$F$102,0))&amp;"",""))</f>
        <v/>
      </c>
      <c r="G86" s="19"/>
      <c r="H86" s="18"/>
      <c r="I86" s="7"/>
      <c r="J86" s="8"/>
      <c r="K86" s="9"/>
      <c r="L86" s="10"/>
      <c r="M86" s="20"/>
      <c r="N86" s="6" t="s">
        <v>172</v>
      </c>
      <c r="O86" s="12"/>
    </row>
    <row r="87" spans="1:15" ht="17.7" customHeight="1">
      <c r="A87" s="16" t="s">
        <v>76</v>
      </c>
      <c r="B87" s="17" t="str">
        <f t="shared" si="1"/>
        <v>TQT-R1-V30-0036</v>
      </c>
      <c r="C87" s="17" t="str">
        <f>IF(B87="","",IFERROR(INDEX('Catálogo PCB'!$B$3:$B$102,MATCH(B87,'Catálogo PCB'!$A$3:$A$102,0))&amp;"",""))</f>
        <v/>
      </c>
      <c r="D87" s="19"/>
      <c r="E87" s="17" t="s">
        <v>439</v>
      </c>
      <c r="F87" s="17" t="str">
        <f>IF(E87="","",IFERROR(INDEX('Catálogo PCB'!$G$3:$G$102,MATCH(E87,'Catálogo PCB'!$F$3:$F$102,0))&amp;"",""))</f>
        <v/>
      </c>
      <c r="G87" s="19"/>
      <c r="H87" s="18"/>
      <c r="I87" s="7"/>
      <c r="J87" s="8"/>
      <c r="K87" s="9"/>
      <c r="L87" s="10"/>
      <c r="M87" s="20"/>
      <c r="N87" s="6" t="s">
        <v>174</v>
      </c>
      <c r="O87" s="12"/>
    </row>
    <row r="88" spans="1:15" ht="17.7" customHeight="1">
      <c r="A88" s="16" t="s">
        <v>80</v>
      </c>
      <c r="B88" s="17" t="str">
        <f t="shared" si="1"/>
        <v>TQT-R1-V30-0038</v>
      </c>
      <c r="C88" s="17" t="str">
        <f>IF(B88="","",IFERROR(INDEX('Catálogo PCB'!$B$3:$B$102,MATCH(B88,'Catálogo PCB'!$A$3:$A$102,0))&amp;"",""))</f>
        <v/>
      </c>
      <c r="D88" s="19"/>
      <c r="E88" s="17" t="s">
        <v>443</v>
      </c>
      <c r="F88" s="17" t="str">
        <f>IF(E88="","",IFERROR(INDEX('Catálogo PCB'!$G$3:$G$102,MATCH(E88,'Catálogo PCB'!$F$3:$F$102,0))&amp;"",""))</f>
        <v/>
      </c>
      <c r="G88" s="19"/>
      <c r="H88" s="18"/>
      <c r="I88" s="7"/>
      <c r="J88" s="8"/>
      <c r="K88" s="9"/>
      <c r="L88" s="10"/>
      <c r="M88" s="20"/>
      <c r="N88" s="6" t="s">
        <v>176</v>
      </c>
      <c r="O88" s="12"/>
    </row>
    <row r="89" spans="1:15" ht="17.7" customHeight="1">
      <c r="A89" s="16" t="s">
        <v>262</v>
      </c>
      <c r="B89" s="17" t="str">
        <f t="shared" si="1"/>
        <v>TQT-R1-V30-0107</v>
      </c>
      <c r="C89" s="17" t="str">
        <f>IF(B89="","",IFERROR(INDEX('Catálogo PCB'!$B$3:$B$102,MATCH(B89,'Catálogo PCB'!$A$3:$A$102,0))&amp;"",""))</f>
        <v/>
      </c>
      <c r="D89" s="19"/>
      <c r="E89" s="17" t="s">
        <v>449</v>
      </c>
      <c r="F89" s="17" t="str">
        <f>IF(E89="","",IFERROR(INDEX('Catálogo PCB'!$G$3:$G$102,MATCH(E89,'Catálogo PCB'!$F$3:$F$102,0))&amp;"",""))</f>
        <v/>
      </c>
      <c r="G89" s="19"/>
      <c r="H89" s="18"/>
      <c r="I89" s="7"/>
      <c r="J89" s="8"/>
      <c r="K89" s="9"/>
      <c r="L89" s="10"/>
      <c r="M89" s="20"/>
      <c r="N89" s="6" t="s">
        <v>177</v>
      </c>
      <c r="O89" s="12"/>
    </row>
    <row r="90" spans="1:15" ht="17.7" customHeight="1">
      <c r="A90" s="16" t="s">
        <v>263</v>
      </c>
      <c r="B90" s="17" t="str">
        <f t="shared" si="1"/>
        <v>TQT-R1-V30-0112</v>
      </c>
      <c r="C90" s="17" t="str">
        <f>IF(B90="","",IFERROR(INDEX('Catálogo PCB'!$B$3:$B$102,MATCH(B90,'Catálogo PCB'!$A$3:$A$102,0))&amp;"",""))</f>
        <v/>
      </c>
      <c r="D90" s="19"/>
      <c r="E90" s="17" t="s">
        <v>451</v>
      </c>
      <c r="F90" s="17" t="str">
        <f>IF(E90="","",IFERROR(INDEX('Catálogo PCB'!$G$3:$G$102,MATCH(E90,'Catálogo PCB'!$F$3:$F$102,0))&amp;"",""))</f>
        <v/>
      </c>
      <c r="G90" s="19"/>
      <c r="H90" s="18"/>
      <c r="I90" s="7"/>
      <c r="J90" s="8"/>
      <c r="K90" s="9"/>
      <c r="L90" s="10"/>
      <c r="M90" s="20"/>
      <c r="N90" s="6" t="s">
        <v>179</v>
      </c>
      <c r="O90" s="12"/>
    </row>
    <row r="91" spans="1:15" ht="17.7" customHeight="1">
      <c r="A91" s="16" t="s">
        <v>264</v>
      </c>
      <c r="B91" s="17" t="str">
        <f t="shared" si="1"/>
        <v>TQT-R1-V30-0113</v>
      </c>
      <c r="C91" s="17" t="str">
        <f>IF(B91="","",IFERROR(INDEX('Catálogo PCB'!$B$3:$B$102,MATCH(B91,'Catálogo PCB'!$A$3:$A$102,0))&amp;"",""))</f>
        <v/>
      </c>
      <c r="D91" s="19"/>
      <c r="E91" s="17" t="s">
        <v>452</v>
      </c>
      <c r="F91" s="17" t="str">
        <f>IF(E91="","",IFERROR(INDEX('Catálogo PCB'!$G$3:$G$102,MATCH(E91,'Catálogo PCB'!$F$3:$F$102,0))&amp;"",""))</f>
        <v/>
      </c>
      <c r="G91" s="19"/>
      <c r="H91" s="18"/>
      <c r="I91" s="7"/>
      <c r="J91" s="8"/>
      <c r="K91" s="9"/>
      <c r="L91" s="10"/>
      <c r="M91" s="20"/>
      <c r="N91" s="6" t="s">
        <v>180</v>
      </c>
      <c r="O91" s="12"/>
    </row>
    <row r="92" spans="1:15" ht="17.7" customHeight="1">
      <c r="A92" s="16" t="s">
        <v>265</v>
      </c>
      <c r="B92" s="17" t="str">
        <f t="shared" si="1"/>
        <v>TQT-R1-V30-0114</v>
      </c>
      <c r="C92" s="17" t="str">
        <f>IF(B92="","",IFERROR(INDEX('Catálogo PCB'!$B$3:$B$102,MATCH(B92,'Catálogo PCB'!$A$3:$A$102,0))&amp;"",""))</f>
        <v/>
      </c>
      <c r="D92" s="19"/>
      <c r="E92" s="17" t="s">
        <v>456</v>
      </c>
      <c r="F92" s="17" t="str">
        <f>IF(E92="","",IFERROR(INDEX('Catálogo PCB'!$G$3:$G$102,MATCH(E92,'Catálogo PCB'!$F$3:$F$102,0))&amp;"",""))</f>
        <v/>
      </c>
      <c r="G92" s="19"/>
      <c r="H92" s="18"/>
      <c r="I92" s="7"/>
      <c r="J92" s="8"/>
      <c r="K92" s="9"/>
      <c r="L92" s="10"/>
      <c r="M92" s="20"/>
      <c r="N92" s="6" t="s">
        <v>181</v>
      </c>
      <c r="O92" s="12"/>
    </row>
    <row r="93" spans="1:15" ht="17.7" customHeight="1">
      <c r="A93" s="16" t="s">
        <v>266</v>
      </c>
      <c r="B93" s="17" t="str">
        <f t="shared" si="1"/>
        <v>TQT-R1-V30-0119</v>
      </c>
      <c r="C93" s="17" t="str">
        <f>IF(B93="","",IFERROR(INDEX('Catálogo PCB'!$B$3:$B$102,MATCH(B93,'Catálogo PCB'!$A$3:$A$102,0))&amp;"",""))</f>
        <v/>
      </c>
      <c r="D93" s="19"/>
      <c r="E93" s="17" t="s">
        <v>457</v>
      </c>
      <c r="F93" s="17" t="str">
        <f>IF(E93="","",IFERROR(INDEX('Catálogo PCB'!$G$3:$G$102,MATCH(E93,'Catálogo PCB'!$F$3:$F$102,0))&amp;"",""))</f>
        <v/>
      </c>
      <c r="G93" s="19"/>
      <c r="H93" s="18"/>
      <c r="I93" s="7"/>
      <c r="J93" s="8"/>
      <c r="K93" s="9"/>
      <c r="L93" s="10"/>
      <c r="M93" s="20"/>
      <c r="N93" s="6" t="s">
        <v>183</v>
      </c>
      <c r="O93" s="12"/>
    </row>
    <row r="94" spans="1:15" ht="17.7" customHeight="1">
      <c r="A94" s="16" t="s">
        <v>267</v>
      </c>
      <c r="B94" s="17" t="str">
        <f t="shared" si="1"/>
        <v>TQT-R1-V30-0120</v>
      </c>
      <c r="C94" s="17" t="str">
        <f>IF(B94="","",IFERROR(INDEX('Catálogo PCB'!$B$3:$B$102,MATCH(B94,'Catálogo PCB'!$A$3:$A$102,0))&amp;"",""))</f>
        <v/>
      </c>
      <c r="D94" s="19"/>
      <c r="E94" s="17" t="s">
        <v>458</v>
      </c>
      <c r="F94" s="17" t="str">
        <f>IF(E94="","",IFERROR(INDEX('Catálogo PCB'!$G$3:$G$102,MATCH(E94,'Catálogo PCB'!$F$3:$F$102,0))&amp;"",""))</f>
        <v/>
      </c>
      <c r="G94" s="19"/>
      <c r="H94" s="18"/>
      <c r="I94" s="7"/>
      <c r="J94" s="8"/>
      <c r="K94" s="9"/>
      <c r="L94" s="10"/>
      <c r="M94" s="20"/>
      <c r="N94" s="6" t="s">
        <v>185</v>
      </c>
      <c r="O94" s="12"/>
    </row>
    <row r="95" spans="1:15" ht="17.7" customHeight="1">
      <c r="A95" s="16" t="s">
        <v>268</v>
      </c>
      <c r="B95" s="17" t="str">
        <f t="shared" si="1"/>
        <v>TQT-R1-V30-0121</v>
      </c>
      <c r="C95" s="17" t="str">
        <f>IF(B95="","",IFERROR(INDEX('Catálogo PCB'!$B$3:$B$102,MATCH(B95,'Catálogo PCB'!$A$3:$A$102,0))&amp;"",""))</f>
        <v/>
      </c>
      <c r="D95" s="19"/>
      <c r="E95" s="17" t="s">
        <v>463</v>
      </c>
      <c r="F95" s="17" t="str">
        <f>IF(E95="","",IFERROR(INDEX('Catálogo PCB'!$G$3:$G$102,MATCH(E95,'Catálogo PCB'!$F$3:$F$102,0))&amp;"",""))</f>
        <v/>
      </c>
      <c r="G95" s="19"/>
      <c r="H95" s="18"/>
      <c r="I95" s="7"/>
      <c r="J95" s="8"/>
      <c r="K95" s="9"/>
      <c r="L95" s="10"/>
      <c r="M95" s="20"/>
      <c r="N95" s="6" t="s">
        <v>187</v>
      </c>
      <c r="O95" s="12"/>
    </row>
    <row r="96" spans="1:15" ht="17.7" customHeight="1">
      <c r="A96" s="16" t="s">
        <v>269</v>
      </c>
      <c r="B96" s="17" t="str">
        <f t="shared" si="1"/>
        <v>TQT-R1-V30-0122</v>
      </c>
      <c r="C96" s="17" t="str">
        <f>IF(B96="","",IFERROR(INDEX('Catálogo PCB'!$B$3:$B$102,MATCH(B96,'Catálogo PCB'!$A$3:$A$102,0))&amp;"",""))</f>
        <v/>
      </c>
      <c r="D96" s="19"/>
      <c r="E96" s="17" t="s">
        <v>467</v>
      </c>
      <c r="F96" s="17" t="str">
        <f>IF(E96="","",IFERROR(INDEX('Catálogo PCB'!$G$3:$G$102,MATCH(E96,'Catálogo PCB'!$F$3:$F$102,0))&amp;"",""))</f>
        <v/>
      </c>
      <c r="G96" s="19"/>
      <c r="H96" s="18"/>
      <c r="I96" s="7"/>
      <c r="J96" s="8"/>
      <c r="K96" s="9"/>
      <c r="L96" s="10"/>
      <c r="M96" s="20"/>
      <c r="N96" s="6" t="s">
        <v>188</v>
      </c>
      <c r="O96" s="12"/>
    </row>
    <row r="97" spans="1:15" ht="17.7" customHeight="1">
      <c r="A97" s="16" t="s">
        <v>270</v>
      </c>
      <c r="B97" s="17" t="str">
        <f t="shared" si="1"/>
        <v>TQT-R1-V30-0123</v>
      </c>
      <c r="C97" s="17" t="str">
        <f>IF(B97="","",IFERROR(INDEX('Catálogo PCB'!$B$3:$B$102,MATCH(B97,'Catálogo PCB'!$A$3:$A$102,0))&amp;"",""))</f>
        <v/>
      </c>
      <c r="D97" s="19"/>
      <c r="E97" s="17" t="s">
        <v>468</v>
      </c>
      <c r="F97" s="17" t="str">
        <f>IF(E97="","",IFERROR(INDEX('Catálogo PCB'!$G$3:$G$102,MATCH(E97,'Catálogo PCB'!$F$3:$F$102,0))&amp;"",""))</f>
        <v/>
      </c>
      <c r="G97" s="19"/>
      <c r="H97" s="18"/>
      <c r="I97" s="7"/>
      <c r="J97" s="8"/>
      <c r="K97" s="9"/>
      <c r="L97" s="10"/>
      <c r="M97" s="20"/>
      <c r="N97" s="6" t="s">
        <v>189</v>
      </c>
      <c r="O97" s="12"/>
    </row>
    <row r="98" spans="1:15" ht="17.7" customHeight="1">
      <c r="A98" s="16" t="s">
        <v>271</v>
      </c>
      <c r="B98" s="17" t="str">
        <f t="shared" si="1"/>
        <v>TQT-R1-V30-0125</v>
      </c>
      <c r="C98" s="17" t="str">
        <f>IF(B98="","",IFERROR(INDEX('Catálogo PCB'!$B$3:$B$102,MATCH(B98,'Catálogo PCB'!$A$3:$A$102,0))&amp;"",""))</f>
        <v/>
      </c>
      <c r="D98" s="19"/>
      <c r="E98" s="17" t="s">
        <v>469</v>
      </c>
      <c r="F98" s="17" t="str">
        <f>IF(E98="","",IFERROR(INDEX('Catálogo PCB'!$G$3:$G$102,MATCH(E98,'Catálogo PCB'!$F$3:$F$102,0))&amp;"",""))</f>
        <v/>
      </c>
      <c r="G98" s="19"/>
      <c r="H98" s="18"/>
      <c r="I98" s="7"/>
      <c r="J98" s="8"/>
      <c r="K98" s="9"/>
      <c r="L98" s="10"/>
      <c r="M98" s="20"/>
      <c r="N98" s="6" t="s">
        <v>190</v>
      </c>
      <c r="O98" s="12"/>
    </row>
    <row r="99" spans="1:15" ht="17.7" customHeight="1">
      <c r="A99" s="16" t="s">
        <v>272</v>
      </c>
      <c r="B99" s="17" t="str">
        <f t="shared" si="1"/>
        <v>TQT-R1-V30-0127</v>
      </c>
      <c r="C99" s="17" t="str">
        <f>IF(B99="","",IFERROR(INDEX('Catálogo PCB'!$B$3:$B$102,MATCH(B99,'Catálogo PCB'!$A$3:$A$102,0))&amp;"",""))</f>
        <v/>
      </c>
      <c r="D99" s="19"/>
      <c r="E99" s="17" t="s">
        <v>470</v>
      </c>
      <c r="F99" s="17" t="str">
        <f>IF(E99="","",IFERROR(INDEX('Catálogo PCB'!$G$3:$G$102,MATCH(E99,'Catálogo PCB'!$F$3:$F$102,0))&amp;"",""))</f>
        <v/>
      </c>
      <c r="G99" s="19"/>
      <c r="H99" s="18"/>
      <c r="I99" s="7"/>
      <c r="J99" s="8"/>
      <c r="K99" s="9"/>
      <c r="L99" s="10"/>
      <c r="M99" s="20"/>
      <c r="N99" s="6" t="s">
        <v>192</v>
      </c>
      <c r="O99" s="12"/>
    </row>
    <row r="100" spans="1:15" ht="17.7" customHeight="1">
      <c r="A100" s="16" t="s">
        <v>273</v>
      </c>
      <c r="B100" s="17" t="str">
        <f t="shared" si="1"/>
        <v>TQT-R1-V30-0128</v>
      </c>
      <c r="C100" s="17" t="str">
        <f>IF(B100="","",IFERROR(INDEX('Catálogo PCB'!$B$3:$B$102,MATCH(B100,'Catálogo PCB'!$A$3:$A$102,0))&amp;"",""))</f>
        <v/>
      </c>
      <c r="D100" s="19"/>
      <c r="E100" s="17" t="s">
        <v>471</v>
      </c>
      <c r="F100" s="17" t="str">
        <f>IF(E100="","",IFERROR(INDEX('Catálogo PCB'!$G$3:$G$102,MATCH(E100,'Catálogo PCB'!$F$3:$F$102,0))&amp;"",""))</f>
        <v/>
      </c>
      <c r="G100" s="19"/>
      <c r="H100" s="18"/>
      <c r="I100" s="7"/>
      <c r="J100" s="8"/>
      <c r="K100" s="9"/>
      <c r="L100" s="10"/>
      <c r="M100" s="20"/>
      <c r="N100" s="6" t="s">
        <v>194</v>
      </c>
      <c r="O100" s="12"/>
    </row>
    <row r="101" spans="1:15" ht="17.7" customHeight="1">
      <c r="A101" s="16" t="s">
        <v>274</v>
      </c>
      <c r="B101" s="17" t="str">
        <f t="shared" si="1"/>
        <v>TQT-R1-V30-0130</v>
      </c>
      <c r="C101" s="17" t="str">
        <f>IF(B101="","",IFERROR(INDEX('Catálogo PCB'!$B$3:$B$102,MATCH(B101,'Catálogo PCB'!$A$3:$A$102,0))&amp;"",""))</f>
        <v/>
      </c>
      <c r="D101" s="19"/>
      <c r="E101" s="17" t="s">
        <v>472</v>
      </c>
      <c r="F101" s="17" t="str">
        <f>IF(E101="","",IFERROR(INDEX('Catálogo PCB'!$G$3:$G$102,MATCH(E101,'Catálogo PCB'!$F$3:$F$102,0))&amp;"",""))</f>
        <v/>
      </c>
      <c r="G101" s="19"/>
      <c r="H101" s="18"/>
      <c r="I101" s="7"/>
      <c r="J101" s="8"/>
      <c r="K101" s="9"/>
      <c r="L101" s="10"/>
      <c r="M101" s="20"/>
      <c r="N101" s="6" t="s">
        <v>196</v>
      </c>
      <c r="O101" s="12"/>
    </row>
    <row r="102" spans="1:15" ht="17.7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1" t="s">
        <v>197</v>
      </c>
      <c r="O102" s="22"/>
    </row>
    <row r="103" spans="1:15" ht="17.7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1" t="s">
        <v>198</v>
      </c>
      <c r="O103" s="22"/>
    </row>
    <row r="104" spans="1:15" ht="17.7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1" t="s">
        <v>199</v>
      </c>
      <c r="O104" s="22"/>
    </row>
    <row r="105" spans="1:15" ht="17.7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1" t="s">
        <v>200</v>
      </c>
      <c r="O105" s="22"/>
    </row>
    <row r="106" spans="1:15" ht="17.7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1" t="s">
        <v>201</v>
      </c>
      <c r="O106" s="22"/>
    </row>
    <row r="107" spans="1:15" ht="17.7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1" t="s">
        <v>202</v>
      </c>
      <c r="O107" s="22"/>
    </row>
    <row r="108" spans="1:15" ht="8.6999999999999993" customHeight="1"/>
    <row r="109" spans="1:15" ht="8.6999999999999993" customHeight="1"/>
    <row r="110" spans="1:15" ht="8.6999999999999993" customHeight="1"/>
    <row r="111" spans="1:15" ht="8.6999999999999993" customHeight="1"/>
    <row r="112" spans="1:15" ht="8.6999999999999993" customHeight="1"/>
    <row r="113" ht="8.6999999999999993" customHeight="1"/>
    <row r="114" ht="8.6999999999999993" customHeight="1"/>
    <row r="115" ht="8.6999999999999993" customHeight="1"/>
    <row r="116" ht="8.6999999999999993" customHeight="1"/>
    <row r="117" ht="8.6999999999999993" customHeight="1"/>
    <row r="118" ht="8.6999999999999993" customHeight="1"/>
    <row r="119" ht="8.6999999999999993" customHeight="1"/>
    <row r="120" ht="8.6999999999999993" customHeight="1"/>
    <row r="121" ht="8.6999999999999993" customHeight="1"/>
    <row r="122" ht="8.6999999999999993" customHeight="1"/>
    <row r="123" ht="8.6999999999999993" customHeight="1"/>
    <row r="124" ht="8.6999999999999993" customHeight="1"/>
    <row r="125" ht="8.6999999999999993" customHeight="1"/>
    <row r="126" ht="8.6999999999999993" customHeight="1"/>
    <row r="127" ht="8.6999999999999993" customHeight="1"/>
    <row r="128" ht="8.6999999999999993" customHeight="1"/>
    <row r="129" ht="8.6999999999999993" customHeight="1"/>
    <row r="130" ht="8.6999999999999993" customHeight="1"/>
    <row r="131" ht="8.6999999999999993" customHeight="1"/>
    <row r="132" ht="8.6999999999999993" customHeight="1"/>
    <row r="133" ht="8.6999999999999993" customHeight="1"/>
    <row r="134" ht="8.6999999999999993" customHeight="1"/>
    <row r="135" ht="8.6999999999999993" customHeight="1"/>
    <row r="136" ht="8.6999999999999993" customHeight="1"/>
    <row r="137" ht="8.6999999999999993" customHeight="1"/>
    <row r="138" ht="8.6999999999999993" customHeight="1"/>
    <row r="139" ht="8.6999999999999993" customHeight="1"/>
    <row r="140" ht="8.6999999999999993" customHeight="1"/>
    <row r="141" ht="8.6999999999999993" customHeight="1"/>
    <row r="142" ht="8.6999999999999993" customHeight="1"/>
    <row r="143" ht="8.6999999999999993" customHeight="1"/>
    <row r="144" ht="8.6999999999999993" customHeight="1"/>
    <row r="145" ht="8.6999999999999993" customHeight="1"/>
    <row r="146" ht="8.6999999999999993" customHeight="1"/>
    <row r="147" ht="8.6999999999999993" customHeight="1"/>
    <row r="148" ht="8.6999999999999993" customHeight="1"/>
    <row r="149" ht="8.6999999999999993" customHeight="1"/>
    <row r="150" ht="8.6999999999999993" customHeight="1"/>
    <row r="151" ht="8.6999999999999993" customHeight="1"/>
    <row r="152" ht="8.6999999999999993" customHeight="1"/>
    <row r="153" ht="8.6999999999999993" customHeight="1"/>
    <row r="154" ht="8.6999999999999993" customHeight="1"/>
    <row r="155" ht="8.6999999999999993" customHeight="1"/>
    <row r="156" ht="8.6999999999999993" customHeight="1"/>
    <row r="157" ht="8.6999999999999993" customHeight="1"/>
    <row r="158" ht="8.6999999999999993" customHeight="1"/>
    <row r="159" ht="8.6999999999999993" customHeight="1"/>
    <row r="160" ht="8.6999999999999993" customHeight="1"/>
    <row r="161" ht="8.6999999999999993" customHeight="1"/>
    <row r="162" ht="8.6999999999999993" customHeight="1"/>
    <row r="163" ht="8.6999999999999993" customHeight="1"/>
    <row r="164" ht="8.6999999999999993" customHeight="1"/>
    <row r="165" ht="8.6999999999999993" customHeight="1"/>
    <row r="166" ht="8.6999999999999993" customHeight="1"/>
    <row r="167" ht="8.6999999999999993" customHeight="1"/>
    <row r="168" ht="8.6999999999999993" customHeight="1"/>
    <row r="169" ht="8.6999999999999993" customHeight="1"/>
    <row r="170" ht="8.6999999999999993" customHeight="1"/>
    <row r="171" ht="8.6999999999999993" customHeight="1"/>
    <row r="172" ht="8.6999999999999993" customHeight="1"/>
    <row r="173" ht="8.6999999999999993" customHeight="1"/>
    <row r="174" ht="8.6999999999999993" customHeight="1"/>
    <row r="175" ht="8.6999999999999993" customHeight="1"/>
    <row r="176" ht="8.6999999999999993" customHeight="1"/>
    <row r="177" ht="8.6999999999999993" customHeight="1"/>
    <row r="178" ht="8.6999999999999993" customHeight="1"/>
    <row r="179" ht="8.6999999999999993" customHeight="1"/>
    <row r="180" ht="8.6999999999999993" customHeight="1"/>
    <row r="181" ht="8.6999999999999993" customHeight="1"/>
    <row r="182" ht="8.6999999999999993" customHeight="1"/>
    <row r="183" ht="8.6999999999999993" customHeight="1"/>
    <row r="184" ht="8.6999999999999993" customHeight="1"/>
    <row r="185" ht="8.6999999999999993" customHeight="1"/>
    <row r="186" ht="8.6999999999999993" customHeight="1"/>
    <row r="187" ht="8.6999999999999993" customHeight="1"/>
    <row r="188" ht="8.6999999999999993" customHeight="1"/>
    <row r="189" ht="8.6999999999999993" customHeight="1"/>
    <row r="190" ht="8.6999999999999993" customHeight="1"/>
    <row r="191" ht="8.6999999999999993" customHeight="1"/>
    <row r="192" ht="8.6999999999999993" customHeight="1"/>
    <row r="193" ht="8.6999999999999993" customHeight="1"/>
    <row r="194" ht="8.6999999999999993" customHeight="1"/>
    <row r="195" ht="8.6999999999999993" customHeight="1"/>
    <row r="196" ht="8.6999999999999993" customHeight="1"/>
    <row r="197" ht="8.6999999999999993" customHeight="1"/>
    <row r="198" ht="8.6999999999999993" customHeight="1"/>
    <row r="199" ht="8.6999999999999993" customHeight="1"/>
    <row r="200" ht="8.6999999999999993" customHeight="1"/>
  </sheetData>
  <conditionalFormatting sqref="A2:K101">
    <cfRule type="expression" dxfId="92" priority="11">
      <formula>MOD(ROW(),2)=0</formula>
    </cfRule>
  </conditionalFormatting>
  <conditionalFormatting sqref="B2:B101">
    <cfRule type="expression" dxfId="91" priority="3">
      <formula>AND(B2&lt;&gt;"",COUNTIF($B$2:$B$101,B2)&gt;1)</formula>
    </cfRule>
  </conditionalFormatting>
  <conditionalFormatting sqref="C2:C101">
    <cfRule type="expression" dxfId="90" priority="4">
      <formula>AND(C2&lt;&gt;"",COUNTIF($C$2:$C$101,C2)&gt;1)</formula>
    </cfRule>
  </conditionalFormatting>
  <conditionalFormatting sqref="E2:E101">
    <cfRule type="expression" dxfId="89" priority="5">
      <formula>AND(E2&lt;&gt;"",COUNTIF($E$2:$E$101,E2)&gt;1)</formula>
    </cfRule>
  </conditionalFormatting>
  <conditionalFormatting sqref="F2:F101">
    <cfRule type="expression" dxfId="88" priority="6">
      <formula>AND(F2&lt;&gt;"",COUNTIF($F$2:$F$101,F2)&gt;1)</formula>
    </cfRule>
  </conditionalFormatting>
  <conditionalFormatting sqref="K2:K101">
    <cfRule type="expression" dxfId="87" priority="7">
      <formula>AND(J2&lt;&gt;"",J2&lt;TODAY(),K2="")</formula>
    </cfRule>
  </conditionalFormatting>
  <conditionalFormatting sqref="L2:L101">
    <cfRule type="expression" dxfId="86" priority="8">
      <formula>L2="Translock"</formula>
    </cfRule>
  </conditionalFormatting>
  <conditionalFormatting sqref="L2:L101">
    <cfRule type="expression" dxfId="85" priority="9">
      <formula>L2="Quintalock"</formula>
    </cfRule>
  </conditionalFormatting>
  <conditionalFormatting sqref="H2:H101">
    <cfRule type="expression" dxfId="18" priority="12">
      <formula>AND(H2&lt;&gt;"",COUNTIF($H$2:$H$101,H2)&gt;1)</formula>
    </cfRule>
  </conditionalFormatting>
  <dataValidations count="5">
    <dataValidation type="list" allowBlank="1" showErrorMessage="1" sqref="I2:I101" xr:uid="{00000000-0002-0000-0000-000000000000}">
      <formula1>$N$2:$N$107</formula1>
    </dataValidation>
    <dataValidation type="date" allowBlank="1" showErrorMessage="1" sqref="J2:K101" xr:uid="{00000000-0002-0000-0000-000001000000}">
      <formula1>DATE(2026,1,1)</formula1>
    </dataValidation>
    <dataValidation type="list" allowBlank="1" showErrorMessage="1" sqref="D2:D101" xr:uid="{00000000-0002-0000-0000-000002000000}">
      <formula1>$O$2:$O$52</formula1>
    </dataValidation>
    <dataValidation type="list" sqref="L2:L101" xr:uid="{00000000-0002-0000-0000-000003000000}">
      <formula1>"Translock,Quintalock"</formula1>
    </dataValidation>
    <dataValidation type="list" allowBlank="1" showInputMessage="1" showErrorMessage="1" sqref="G2:G101" xr:uid="{152CF229-E85C-4B53-BC98-D10365CD59B2}">
      <formula1>$Q$2:$Q$52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4E5CFA40-2CE0-4A02-9FBF-3D5C23E4DA72}">
            <xm:f>AND(H2&lt;&gt;"",COUNTIF('Catálogo PCB'!$K$3:$K$102,H2)=0)</xm:f>
            <x14:dxf>
              <font>
                <color rgb="FFB3261E"/>
              </font>
              <fill>
                <patternFill patternType="solid">
                  <fgColor indexed="64"/>
                  <bgColor rgb="FFFCE8E6"/>
                </patternFill>
              </fill>
            </x14:dxf>
          </x14:cfRule>
          <xm:sqref>H2:H101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66DBE7-BF45-45E7-ACDC-D4456534CE09}">
          <x14:formula1>
            <xm:f>'Catálogo PCB'!$F$3:$F$102</xm:f>
          </x14:formula1>
          <xm:sqref>E2:E101</xm:sqref>
        </x14:dataValidation>
        <x14:dataValidation type="list" allowBlank="1" showInputMessage="1" showErrorMessage="1" errorTitle="Botón R3 no válido" error="Selecciona o escribe un botón TQT-R3-V30 DISPONIBLE (no asignado a otra tarjeta)." promptTitle="Botón R3" prompt="Elige de la lista o escribe el botón asignado manualmente." xr:uid="{4ED1ABAE-F654-4FBA-AE7A-311E84FF37E4}">
          <x14:formula1>
            <xm:f>_xlfn.ANCHORARRAY('Catálogo PCB'!$O$3)</xm:f>
          </x14:formula1>
          <xm:sqref>H2:H101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"/>
  <sheetViews>
    <sheetView topLeftCell="A82" workbookViewId="0">
      <selection activeCell="C106" sqref="C106"/>
    </sheetView>
  </sheetViews>
  <sheetFormatPr baseColWidth="10" defaultColWidth="8.69921875" defaultRowHeight="13.8"/>
  <cols>
    <col min="1" max="1" width="12" customWidth="1"/>
    <col min="2" max="7" width="15" customWidth="1"/>
    <col min="8" max="9" width="4" customWidth="1"/>
    <col min="10" max="10" width="35.19921875" customWidth="1"/>
    <col min="11" max="11" width="18" customWidth="1"/>
    <col min="12" max="12" width="15" customWidth="1"/>
    <col min="13" max="27" width="10" customWidth="1"/>
    <col min="28" max="28" width="2" customWidth="1"/>
  </cols>
  <sheetData>
    <row r="1" spans="1:28" ht="36.6" customHeight="1">
      <c r="A1" s="13" t="s">
        <v>0</v>
      </c>
      <c r="B1" s="13" t="s">
        <v>203</v>
      </c>
      <c r="C1" s="13" t="s">
        <v>204</v>
      </c>
      <c r="D1" s="13" t="s">
        <v>205</v>
      </c>
      <c r="E1" s="13" t="s">
        <v>206</v>
      </c>
      <c r="F1" s="13" t="s">
        <v>207</v>
      </c>
      <c r="G1" s="13" t="s">
        <v>208</v>
      </c>
      <c r="H1" s="20"/>
      <c r="I1" s="20"/>
      <c r="J1" s="23" t="s">
        <v>209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5"/>
    </row>
    <row r="2" spans="1:28" ht="17.399999999999999" customHeight="1">
      <c r="A2" s="16" t="str">
        <f>IF(Producción!A2="","",Producción!A2)</f>
        <v>0011</v>
      </c>
      <c r="B2" s="17" t="str" cm="1">
        <f t="array" ref="B2">IF($A2="","",IFERROR(LOOKUP(2,1/(($K$3:$K$200="Soldadura")*((($M$3:$M$200=$A2)+($N$3:$N$200=$A2)+($O$3:$O$200=$A2)+($P$3:$P$200=$A2)+($Q$3:$Q$200=$A2)+($R$3:$R$200=$A2)+($S$3:$S$200=$A2)+($T$3:$T$200=$A2)+($U$3:$U$200=$A2)+($V$3:$V$200=$A2)+($W$3:$W$200=$A2)+($X$3:$X$200=$A2)+($Y$3:$Y$200=$A2)+($Z$3:$Z$200=$A2)+($AA$3:$AA$200=$A2))&gt;0)),$L$3:$L$200),"PENDIENTE"))</f>
        <v>PENDIENTE</v>
      </c>
      <c r="C2" s="17" t="str" cm="1">
        <f t="array" ref="C2">IF($A2="","",IFERROR(LOOKUP(2,1/(($K$3:$K$200="Programación")*((($M$3:$M$200=$A2)+($N$3:$N$200=$A2)+($O$3:$O$200=$A2)+($P$3:$P$200=$A2)+($Q$3:$Q$200=$A2)+($R$3:$R$200=$A2)+($S$3:$S$200=$A2)+($T$3:$T$200=$A2)+($U$3:$U$200=$A2)+($V$3:$V$200=$A2)+($W$3:$W$200=$A2)+($X$3:$X$200=$A2)+($Y$3:$Y$200=$A2)+($Z$3:$Z$200=$A2)+($AA$3:$AA$200=$A2))&gt;0)),$L$3:$L$200),"PENDIENTE"))</f>
        <v>PENDIENTE</v>
      </c>
      <c r="D2" s="17" t="str" cm="1">
        <f t="array" ref="D2">IF($A2="","",IFERROR(LOOKUP(2,1/(($K$3:$K$200="Prueba PCB")*((($M$3:$M$200=$A2)+($N$3:$N$200=$A2)+($O$3:$O$200=$A2)+($P$3:$P$200=$A2)+($Q$3:$Q$200=$A2)+($R$3:$R$200=$A2)+($S$3:$S$200=$A2)+($T$3:$T$200=$A2)+($U$3:$U$200=$A2)+($V$3:$V$200=$A2)+($W$3:$W$200=$A2)+($X$3:$X$200=$A2)+($Y$3:$Y$200=$A2)+($Z$3:$Z$200=$A2)+($AA$3:$AA$200=$A2))&gt;0)),$L$3:$L$200),"PENDIENTE"))</f>
        <v>PENDIENTE</v>
      </c>
      <c r="E2" s="17" t="str" cm="1">
        <f t="array" ref="E2">IF($A2="","",IFERROR(LOOKUP(2,1/(($K$3:$K$200="Integración")*((($M$3:$M$200=$A2)+($N$3:$N$200=$A2)+($O$3:$O$200=$A2)+($P$3:$P$200=$A2)+($Q$3:$Q$200=$A2)+($R$3:$R$200=$A2)+($S$3:$S$200=$A2)+($T$3:$T$200=$A2)+($U$3:$U$200=$A2)+($V$3:$V$200=$A2)+($W$3:$W$200=$A2)+($X$3:$X$200=$A2)+($Y$3:$Y$200=$A2)+($Z$3:$Z$200=$A2)+($AA$3:$AA$200=$A2))&gt;0)),$L$3:$L$200),"PENDIENTE"))</f>
        <v>PENDIENTE</v>
      </c>
      <c r="F2" s="17" t="str" cm="1">
        <f t="array" ref="F2">IF($A2="","",IFERROR(LOOKUP(2,1/(($K$3:$K$200="Prueba Final")*((($M$3:$M$200=$A2)+($N$3:$N$200=$A2)+($O$3:$O$200=$A2)+($P$3:$P$200=$A2)+($Q$3:$Q$200=$A2)+($R$3:$R$200=$A2)+($S$3:$S$200=$A2)+($T$3:$T$200=$A2)+($U$3:$U$200=$A2)+($V$3:$V$200=$A2)+($W$3:$W$200=$A2)+($X$3:$X$200=$A2)+($Y$3:$Y$200=$A2)+($Z$3:$Z$200=$A2)+($AA$3:$AA$200=$A2))&gt;0)),$L$3:$L$200),"PENDIENTE"))</f>
        <v>PENDIENTE</v>
      </c>
      <c r="G2" s="17" t="str">
        <f t="shared" ref="G2:G33" si="0">IF($A2="","",IF(COUNTIF(B2:F2,"FALLA")&gt;0,"DETENIDO",IF(COUNTIF(B2:F2,"RETRABAJO")&gt;0,"RETRABAJO",IF(COUNTIF(B2:F2,"OK")+COUNTIF(B2:F2,"NO APLICA")=5,"LIBERADO",IF(COUNTIF(B2:F2,"PENDIENTE")=5,"PENDIENTE","EN PROCESO")))))</f>
        <v>PENDIENTE</v>
      </c>
      <c r="H2" s="20"/>
      <c r="I2" s="20"/>
      <c r="J2" s="1" t="s">
        <v>210</v>
      </c>
      <c r="K2" s="1" t="s">
        <v>211</v>
      </c>
      <c r="L2" s="1" t="s">
        <v>212</v>
      </c>
      <c r="M2" s="1" t="s">
        <v>213</v>
      </c>
      <c r="N2" s="1" t="s">
        <v>214</v>
      </c>
      <c r="O2" s="1" t="s">
        <v>215</v>
      </c>
      <c r="P2" s="1" t="s">
        <v>216</v>
      </c>
      <c r="Q2" s="1" t="s">
        <v>217</v>
      </c>
      <c r="R2" s="1" t="s">
        <v>218</v>
      </c>
      <c r="S2" s="1" t="s">
        <v>219</v>
      </c>
      <c r="T2" s="1" t="s">
        <v>220</v>
      </c>
      <c r="U2" s="1" t="s">
        <v>221</v>
      </c>
      <c r="V2" s="1" t="s">
        <v>222</v>
      </c>
      <c r="W2" s="1" t="s">
        <v>223</v>
      </c>
      <c r="X2" s="1" t="s">
        <v>224</v>
      </c>
      <c r="Y2" s="1" t="s">
        <v>225</v>
      </c>
      <c r="Z2" s="1" t="s">
        <v>226</v>
      </c>
      <c r="AA2" s="1" t="s">
        <v>227</v>
      </c>
      <c r="AB2" s="1"/>
    </row>
    <row r="3" spans="1:28" ht="17.7" customHeight="1">
      <c r="A3" s="16" t="str">
        <f>IF(Producción!A3="","",Producción!A3)</f>
        <v>0012</v>
      </c>
      <c r="B3" s="17" t="str" cm="1">
        <f t="array" ref="B3">IF($A3="","",IFERROR(LOOKUP(2,1/(($K$3:$K$200="Soldadura")*((($M$3:$M$200=$A3)+($N$3:$N$200=$A3)+($O$3:$O$200=$A3)+($P$3:$P$200=$A3)+($Q$3:$Q$200=$A3)+($R$3:$R$200=$A3)+($S$3:$S$200=$A3)+($T$3:$T$200=$A3)+($U$3:$U$200=$A3)+($V$3:$V$200=$A3)+($W$3:$W$200=$A3)+($X$3:$X$200=$A3)+($Y$3:$Y$200=$A3)+($Z$3:$Z$200=$A3)+($AA$3:$AA$200=$A3))&gt;0)),$L$3:$L$200),"PENDIENTE"))</f>
        <v>PENDIENTE</v>
      </c>
      <c r="C3" s="17" t="str" cm="1">
        <f t="array" ref="C3">IF($A3="","",IFERROR(LOOKUP(2,1/(($K$3:$K$200="Programación")*((($M$3:$M$200=$A3)+($N$3:$N$200=$A3)+($O$3:$O$200=$A3)+($P$3:$P$200=$A3)+($Q$3:$Q$200=$A3)+($R$3:$R$200=$A3)+($S$3:$S$200=$A3)+($T$3:$T$200=$A3)+($U$3:$U$200=$A3)+($V$3:$V$200=$A3)+($W$3:$W$200=$A3)+($X$3:$X$200=$A3)+($Y$3:$Y$200=$A3)+($Z$3:$Z$200=$A3)+($AA$3:$AA$200=$A3))&gt;0)),$L$3:$L$200),"PENDIENTE"))</f>
        <v>PENDIENTE</v>
      </c>
      <c r="D3" s="17" t="str" cm="1">
        <f t="array" ref="D3">IF($A3="","",IFERROR(LOOKUP(2,1/(($K$3:$K$200="Prueba PCB")*((($M$3:$M$200=$A3)+($N$3:$N$200=$A3)+($O$3:$O$200=$A3)+($P$3:$P$200=$A3)+($Q$3:$Q$200=$A3)+($R$3:$R$200=$A3)+($S$3:$S$200=$A3)+($T$3:$T$200=$A3)+($U$3:$U$200=$A3)+($V$3:$V$200=$A3)+($W$3:$W$200=$A3)+($X$3:$X$200=$A3)+($Y$3:$Y$200=$A3)+($Z$3:$Z$200=$A3)+($AA$3:$AA$200=$A3))&gt;0)),$L$3:$L$200),"PENDIENTE"))</f>
        <v>PENDIENTE</v>
      </c>
      <c r="E3" s="17" t="str" cm="1">
        <f t="array" ref="E3">IF($A3="","",IFERROR(LOOKUP(2,1/(($K$3:$K$200="Integración")*((($M$3:$M$200=$A3)+($N$3:$N$200=$A3)+($O$3:$O$200=$A3)+($P$3:$P$200=$A3)+($Q$3:$Q$200=$A3)+($R$3:$R$200=$A3)+($S$3:$S$200=$A3)+($T$3:$T$200=$A3)+($U$3:$U$200=$A3)+($V$3:$V$200=$A3)+($W$3:$W$200=$A3)+($X$3:$X$200=$A3)+($Y$3:$Y$200=$A3)+($Z$3:$Z$200=$A3)+($AA$3:$AA$200=$A3))&gt;0)),$L$3:$L$200),"PENDIENTE"))</f>
        <v>PENDIENTE</v>
      </c>
      <c r="F3" s="17" t="str" cm="1">
        <f t="array" ref="F3">IF($A3="","",IFERROR(LOOKUP(2,1/(($K$3:$K$200="Prueba Final")*((($M$3:$M$200=$A3)+($N$3:$N$200=$A3)+($O$3:$O$200=$A3)+($P$3:$P$200=$A3)+($Q$3:$Q$200=$A3)+($R$3:$R$200=$A3)+($S$3:$S$200=$A3)+($T$3:$T$200=$A3)+($U$3:$U$200=$A3)+($V$3:$V$200=$A3)+($W$3:$W$200=$A3)+($X$3:$X$200=$A3)+($Y$3:$Y$200=$A3)+($Z$3:$Z$200=$A3)+($AA$3:$AA$200=$A3))&gt;0)),$L$3:$L$200),"PENDIENTE"))</f>
        <v>PENDIENTE</v>
      </c>
      <c r="G3" s="17" t="str">
        <f t="shared" si="0"/>
        <v>PENDIENTE</v>
      </c>
      <c r="H3" s="20"/>
      <c r="I3" s="20"/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"/>
    </row>
    <row r="4" spans="1:28" ht="17.7" customHeight="1">
      <c r="A4" s="16" t="str">
        <f>IF(Producción!A4="","",Producción!A4)</f>
        <v>0013</v>
      </c>
      <c r="B4" s="17" t="str" cm="1">
        <f t="array" ref="B4">IF($A4="","",IFERROR(LOOKUP(2,1/(($K$3:$K$200="Soldadura")*((($M$3:$M$200=$A4)+($N$3:$N$200=$A4)+($O$3:$O$200=$A4)+($P$3:$P$200=$A4)+($Q$3:$Q$200=$A4)+($R$3:$R$200=$A4)+($S$3:$S$200=$A4)+($T$3:$T$200=$A4)+($U$3:$U$200=$A4)+($V$3:$V$200=$A4)+($W$3:$W$200=$A4)+($X$3:$X$200=$A4)+($Y$3:$Y$200=$A4)+($Z$3:$Z$200=$A4)+($AA$3:$AA$200=$A4))&gt;0)),$L$3:$L$200),"PENDIENTE"))</f>
        <v>PENDIENTE</v>
      </c>
      <c r="C4" s="17" t="str" cm="1">
        <f t="array" ref="C4">IF($A4="","",IFERROR(LOOKUP(2,1/(($K$3:$K$200="Programación")*((($M$3:$M$200=$A4)+($N$3:$N$200=$A4)+($O$3:$O$200=$A4)+($P$3:$P$200=$A4)+($Q$3:$Q$200=$A4)+($R$3:$R$200=$A4)+($S$3:$S$200=$A4)+($T$3:$T$200=$A4)+($U$3:$U$200=$A4)+($V$3:$V$200=$A4)+($W$3:$W$200=$A4)+($X$3:$X$200=$A4)+($Y$3:$Y$200=$A4)+($Z$3:$Z$200=$A4)+($AA$3:$AA$200=$A4))&gt;0)),$L$3:$L$200),"PENDIENTE"))</f>
        <v>PENDIENTE</v>
      </c>
      <c r="D4" s="17" t="str" cm="1">
        <f t="array" ref="D4">IF($A4="","",IFERROR(LOOKUP(2,1/(($K$3:$K$200="Prueba PCB")*((($M$3:$M$200=$A4)+($N$3:$N$200=$A4)+($O$3:$O$200=$A4)+($P$3:$P$200=$A4)+($Q$3:$Q$200=$A4)+($R$3:$R$200=$A4)+($S$3:$S$200=$A4)+($T$3:$T$200=$A4)+($U$3:$U$200=$A4)+($V$3:$V$200=$A4)+($W$3:$W$200=$A4)+($X$3:$X$200=$A4)+($Y$3:$Y$200=$A4)+($Z$3:$Z$200=$A4)+($AA$3:$AA$200=$A4))&gt;0)),$L$3:$L$200),"PENDIENTE"))</f>
        <v>PENDIENTE</v>
      </c>
      <c r="E4" s="17" t="str" cm="1">
        <f t="array" ref="E4">IF($A4="","",IFERROR(LOOKUP(2,1/(($K$3:$K$200="Integración")*((($M$3:$M$200=$A4)+($N$3:$N$200=$A4)+($O$3:$O$200=$A4)+($P$3:$P$200=$A4)+($Q$3:$Q$200=$A4)+($R$3:$R$200=$A4)+($S$3:$S$200=$A4)+($T$3:$T$200=$A4)+($U$3:$U$200=$A4)+($V$3:$V$200=$A4)+($W$3:$W$200=$A4)+($X$3:$X$200=$A4)+($Y$3:$Y$200=$A4)+($Z$3:$Z$200=$A4)+($AA$3:$AA$200=$A4))&gt;0)),$L$3:$L$200),"PENDIENTE"))</f>
        <v>PENDIENTE</v>
      </c>
      <c r="F4" s="17" t="str" cm="1">
        <f t="array" ref="F4">IF($A4="","",IFERROR(LOOKUP(2,1/(($K$3:$K$200="Prueba Final")*((($M$3:$M$200=$A4)+($N$3:$N$200=$A4)+($O$3:$O$200=$A4)+($P$3:$P$200=$A4)+($Q$3:$Q$200=$A4)+($R$3:$R$200=$A4)+($S$3:$S$200=$A4)+($T$3:$T$200=$A4)+($U$3:$U$200=$A4)+($V$3:$V$200=$A4)+($W$3:$W$200=$A4)+($X$3:$X$200=$A4)+($Y$3:$Y$200=$A4)+($Z$3:$Z$200=$A4)+($AA$3:$AA$200=$A4))&gt;0)),$L$3:$L$200),"PENDIENTE"))</f>
        <v>PENDIENTE</v>
      </c>
      <c r="G4" s="17" t="str">
        <f t="shared" si="0"/>
        <v>PENDIENTE</v>
      </c>
      <c r="H4" s="20"/>
      <c r="I4" s="20"/>
      <c r="J4" s="25"/>
      <c r="K4" s="26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"/>
    </row>
    <row r="5" spans="1:28" ht="17.7" customHeight="1">
      <c r="A5" s="16" t="str">
        <f>IF(Producción!A5="","",Producción!A5)</f>
        <v>0014</v>
      </c>
      <c r="B5" s="17" t="str" cm="1">
        <f t="array" ref="B5">IF($A5="","",IFERROR(LOOKUP(2,1/(($K$3:$K$200="Soldadura")*((($M$3:$M$200=$A5)+($N$3:$N$200=$A5)+($O$3:$O$200=$A5)+($P$3:$P$200=$A5)+($Q$3:$Q$200=$A5)+($R$3:$R$200=$A5)+($S$3:$S$200=$A5)+($T$3:$T$200=$A5)+($U$3:$U$200=$A5)+($V$3:$V$200=$A5)+($W$3:$W$200=$A5)+($X$3:$X$200=$A5)+($Y$3:$Y$200=$A5)+($Z$3:$Z$200=$A5)+($AA$3:$AA$200=$A5))&gt;0)),$L$3:$L$200),"PENDIENTE"))</f>
        <v>PENDIENTE</v>
      </c>
      <c r="C5" s="17" t="str" cm="1">
        <f t="array" ref="C5">IF($A5="","",IFERROR(LOOKUP(2,1/(($K$3:$K$200="Programación")*((($M$3:$M$200=$A5)+($N$3:$N$200=$A5)+($O$3:$O$200=$A5)+($P$3:$P$200=$A5)+($Q$3:$Q$200=$A5)+($R$3:$R$200=$A5)+($S$3:$S$200=$A5)+($T$3:$T$200=$A5)+($U$3:$U$200=$A5)+($V$3:$V$200=$A5)+($W$3:$W$200=$A5)+($X$3:$X$200=$A5)+($Y$3:$Y$200=$A5)+($Z$3:$Z$200=$A5)+($AA$3:$AA$200=$A5))&gt;0)),$L$3:$L$200),"PENDIENTE"))</f>
        <v>PENDIENTE</v>
      </c>
      <c r="D5" s="17" t="str" cm="1">
        <f t="array" ref="D5">IF($A5="","",IFERROR(LOOKUP(2,1/(($K$3:$K$200="Prueba PCB")*((($M$3:$M$200=$A5)+($N$3:$N$200=$A5)+($O$3:$O$200=$A5)+($P$3:$P$200=$A5)+($Q$3:$Q$200=$A5)+($R$3:$R$200=$A5)+($S$3:$S$200=$A5)+($T$3:$T$200=$A5)+($U$3:$U$200=$A5)+($V$3:$V$200=$A5)+($W$3:$W$200=$A5)+($X$3:$X$200=$A5)+($Y$3:$Y$200=$A5)+($Z$3:$Z$200=$A5)+($AA$3:$AA$200=$A5))&gt;0)),$L$3:$L$200),"PENDIENTE"))</f>
        <v>PENDIENTE</v>
      </c>
      <c r="E5" s="17" t="str" cm="1">
        <f t="array" ref="E5">IF($A5="","",IFERROR(LOOKUP(2,1/(($K$3:$K$200="Integración")*((($M$3:$M$200=$A5)+($N$3:$N$200=$A5)+($O$3:$O$200=$A5)+($P$3:$P$200=$A5)+($Q$3:$Q$200=$A5)+($R$3:$R$200=$A5)+($S$3:$S$200=$A5)+($T$3:$T$200=$A5)+($U$3:$U$200=$A5)+($V$3:$V$200=$A5)+($W$3:$W$200=$A5)+($X$3:$X$200=$A5)+($Y$3:$Y$200=$A5)+($Z$3:$Z$200=$A5)+($AA$3:$AA$200=$A5))&gt;0)),$L$3:$L$200),"PENDIENTE"))</f>
        <v>PENDIENTE</v>
      </c>
      <c r="F5" s="17" t="str" cm="1">
        <f t="array" ref="F5">IF($A5="","",IFERROR(LOOKUP(2,1/(($K$3:$K$200="Prueba Final")*((($M$3:$M$200=$A5)+($N$3:$N$200=$A5)+($O$3:$O$200=$A5)+($P$3:$P$200=$A5)+($Q$3:$Q$200=$A5)+($R$3:$R$200=$A5)+($S$3:$S$200=$A5)+($T$3:$T$200=$A5)+($U$3:$U$200=$A5)+($V$3:$V$200=$A5)+($W$3:$W$200=$A5)+($X$3:$X$200=$A5)+($Y$3:$Y$200=$A5)+($Z$3:$Z$200=$A5)+($AA$3:$AA$200=$A5))&gt;0)),$L$3:$L$200),"PENDIENTE"))</f>
        <v>PENDIENTE</v>
      </c>
      <c r="G5" s="17" t="str">
        <f t="shared" si="0"/>
        <v>PENDIENTE</v>
      </c>
      <c r="H5" s="20"/>
      <c r="I5" s="20"/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"/>
    </row>
    <row r="6" spans="1:28" ht="17.7" customHeight="1">
      <c r="A6" s="16" t="str">
        <f>IF(Producción!A6="","",Producción!A6)</f>
        <v>0015</v>
      </c>
      <c r="B6" s="17" t="str" cm="1">
        <f t="array" ref="B6">IF($A6="","",IFERROR(LOOKUP(2,1/(($K$3:$K$200="Soldadura")*((($M$3:$M$200=$A6)+($N$3:$N$200=$A6)+($O$3:$O$200=$A6)+($P$3:$P$200=$A6)+($Q$3:$Q$200=$A6)+($R$3:$R$200=$A6)+($S$3:$S$200=$A6)+($T$3:$T$200=$A6)+($U$3:$U$200=$A6)+($V$3:$V$200=$A6)+($W$3:$W$200=$A6)+($X$3:$X$200=$A6)+($Y$3:$Y$200=$A6)+($Z$3:$Z$200=$A6)+($AA$3:$AA$200=$A6))&gt;0)),$L$3:$L$200),"PENDIENTE"))</f>
        <v>PENDIENTE</v>
      </c>
      <c r="C6" s="17" t="str" cm="1">
        <f t="array" ref="C6">IF($A6="","",IFERROR(LOOKUP(2,1/(($K$3:$K$200="Programación")*((($M$3:$M$200=$A6)+($N$3:$N$200=$A6)+($O$3:$O$200=$A6)+($P$3:$P$200=$A6)+($Q$3:$Q$200=$A6)+($R$3:$R$200=$A6)+($S$3:$S$200=$A6)+($T$3:$T$200=$A6)+($U$3:$U$200=$A6)+($V$3:$V$200=$A6)+($W$3:$W$200=$A6)+($X$3:$X$200=$A6)+($Y$3:$Y$200=$A6)+($Z$3:$Z$200=$A6)+($AA$3:$AA$200=$A6))&gt;0)),$L$3:$L$200),"PENDIENTE"))</f>
        <v>PENDIENTE</v>
      </c>
      <c r="D6" s="17" t="str" cm="1">
        <f t="array" ref="D6">IF($A6="","",IFERROR(LOOKUP(2,1/(($K$3:$K$200="Prueba PCB")*((($M$3:$M$200=$A6)+($N$3:$N$200=$A6)+($O$3:$O$200=$A6)+($P$3:$P$200=$A6)+($Q$3:$Q$200=$A6)+($R$3:$R$200=$A6)+($S$3:$S$200=$A6)+($T$3:$T$200=$A6)+($U$3:$U$200=$A6)+($V$3:$V$200=$A6)+($W$3:$W$200=$A6)+($X$3:$X$200=$A6)+($Y$3:$Y$200=$A6)+($Z$3:$Z$200=$A6)+($AA$3:$AA$200=$A6))&gt;0)),$L$3:$L$200),"PENDIENTE"))</f>
        <v>PENDIENTE</v>
      </c>
      <c r="E6" s="17" t="str" cm="1">
        <f t="array" ref="E6">IF($A6="","",IFERROR(LOOKUP(2,1/(($K$3:$K$200="Integración")*((($M$3:$M$200=$A6)+($N$3:$N$200=$A6)+($O$3:$O$200=$A6)+($P$3:$P$200=$A6)+($Q$3:$Q$200=$A6)+($R$3:$R$200=$A6)+($S$3:$S$200=$A6)+($T$3:$T$200=$A6)+($U$3:$U$200=$A6)+($V$3:$V$200=$A6)+($W$3:$W$200=$A6)+($X$3:$X$200=$A6)+($Y$3:$Y$200=$A6)+($Z$3:$Z$200=$A6)+($AA$3:$AA$200=$A6))&gt;0)),$L$3:$L$200),"PENDIENTE"))</f>
        <v>PENDIENTE</v>
      </c>
      <c r="F6" s="17" t="str" cm="1">
        <f t="array" ref="F6">IF($A6="","",IFERROR(LOOKUP(2,1/(($K$3:$K$200="Prueba Final")*((($M$3:$M$200=$A6)+($N$3:$N$200=$A6)+($O$3:$O$200=$A6)+($P$3:$P$200=$A6)+($Q$3:$Q$200=$A6)+($R$3:$R$200=$A6)+($S$3:$S$200=$A6)+($T$3:$T$200=$A6)+($U$3:$U$200=$A6)+($V$3:$V$200=$A6)+($W$3:$W$200=$A6)+($X$3:$X$200=$A6)+($Y$3:$Y$200=$A6)+($Z$3:$Z$200=$A6)+($AA$3:$AA$200=$A6))&gt;0)),$L$3:$L$200),"PENDIENTE"))</f>
        <v>PENDIENTE</v>
      </c>
      <c r="G6" s="17" t="str">
        <f t="shared" si="0"/>
        <v>PENDIENTE</v>
      </c>
      <c r="H6" s="20"/>
      <c r="I6" s="20"/>
      <c r="J6" s="25"/>
      <c r="K6" s="26"/>
      <c r="L6" s="26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"/>
    </row>
    <row r="7" spans="1:28" ht="17.7" customHeight="1">
      <c r="A7" s="16" t="str">
        <f>IF(Producción!A7="","",Producción!A7)</f>
        <v>0016</v>
      </c>
      <c r="B7" s="17" t="str" cm="1">
        <f t="array" ref="B7">IF($A7="","",IFERROR(LOOKUP(2,1/(($K$3:$K$200="Soldadura")*((($M$3:$M$200=$A7)+($N$3:$N$200=$A7)+($O$3:$O$200=$A7)+($P$3:$P$200=$A7)+($Q$3:$Q$200=$A7)+($R$3:$R$200=$A7)+($S$3:$S$200=$A7)+($T$3:$T$200=$A7)+($U$3:$U$200=$A7)+($V$3:$V$200=$A7)+($W$3:$W$200=$A7)+($X$3:$X$200=$A7)+($Y$3:$Y$200=$A7)+($Z$3:$Z$200=$A7)+($AA$3:$AA$200=$A7))&gt;0)),$L$3:$L$200),"PENDIENTE"))</f>
        <v>PENDIENTE</v>
      </c>
      <c r="C7" s="17" t="str" cm="1">
        <f t="array" ref="C7">IF($A7="","",IFERROR(LOOKUP(2,1/(($K$3:$K$200="Programación")*((($M$3:$M$200=$A7)+($N$3:$N$200=$A7)+($O$3:$O$200=$A7)+($P$3:$P$200=$A7)+($Q$3:$Q$200=$A7)+($R$3:$R$200=$A7)+($S$3:$S$200=$A7)+($T$3:$T$200=$A7)+($U$3:$U$200=$A7)+($V$3:$V$200=$A7)+($W$3:$W$200=$A7)+($X$3:$X$200=$A7)+($Y$3:$Y$200=$A7)+($Z$3:$Z$200=$A7)+($AA$3:$AA$200=$A7))&gt;0)),$L$3:$L$200),"PENDIENTE"))</f>
        <v>PENDIENTE</v>
      </c>
      <c r="D7" s="17" t="str" cm="1">
        <f t="array" ref="D7">IF($A7="","",IFERROR(LOOKUP(2,1/(($K$3:$K$200="Prueba PCB")*((($M$3:$M$200=$A7)+($N$3:$N$200=$A7)+($O$3:$O$200=$A7)+($P$3:$P$200=$A7)+($Q$3:$Q$200=$A7)+($R$3:$R$200=$A7)+($S$3:$S$200=$A7)+($T$3:$T$200=$A7)+($U$3:$U$200=$A7)+($V$3:$V$200=$A7)+($W$3:$W$200=$A7)+($X$3:$X$200=$A7)+($Y$3:$Y$200=$A7)+($Z$3:$Z$200=$A7)+($AA$3:$AA$200=$A7))&gt;0)),$L$3:$L$200),"PENDIENTE"))</f>
        <v>PENDIENTE</v>
      </c>
      <c r="E7" s="17" t="str" cm="1">
        <f t="array" ref="E7">IF($A7="","",IFERROR(LOOKUP(2,1/(($K$3:$K$200="Integración")*((($M$3:$M$200=$A7)+($N$3:$N$200=$A7)+($O$3:$O$200=$A7)+($P$3:$P$200=$A7)+($Q$3:$Q$200=$A7)+($R$3:$R$200=$A7)+($S$3:$S$200=$A7)+($T$3:$T$200=$A7)+($U$3:$U$200=$A7)+($V$3:$V$200=$A7)+($W$3:$W$200=$A7)+($X$3:$X$200=$A7)+($Y$3:$Y$200=$A7)+($Z$3:$Z$200=$A7)+($AA$3:$AA$200=$A7))&gt;0)),$L$3:$L$200),"PENDIENTE"))</f>
        <v>PENDIENTE</v>
      </c>
      <c r="F7" s="17" t="str" cm="1">
        <f t="array" ref="F7">IF($A7="","",IFERROR(LOOKUP(2,1/(($K$3:$K$200="Prueba Final")*((($M$3:$M$200=$A7)+($N$3:$N$200=$A7)+($O$3:$O$200=$A7)+($P$3:$P$200=$A7)+($Q$3:$Q$200=$A7)+($R$3:$R$200=$A7)+($S$3:$S$200=$A7)+($T$3:$T$200=$A7)+($U$3:$U$200=$A7)+($V$3:$V$200=$A7)+($W$3:$W$200=$A7)+($X$3:$X$200=$A7)+($Y$3:$Y$200=$A7)+($Z$3:$Z$200=$A7)+($AA$3:$AA$200=$A7))&gt;0)),$L$3:$L$200),"PENDIENTE"))</f>
        <v>PENDIENTE</v>
      </c>
      <c r="G7" s="17" t="str">
        <f t="shared" si="0"/>
        <v>PENDIENTE</v>
      </c>
      <c r="H7" s="20"/>
      <c r="I7" s="20"/>
      <c r="J7" s="25"/>
      <c r="K7" s="26"/>
      <c r="L7" s="26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"/>
    </row>
    <row r="8" spans="1:28" ht="17.7" customHeight="1">
      <c r="A8" s="16" t="str">
        <f>IF(Producción!A8="","",Producción!A8)</f>
        <v>0017</v>
      </c>
      <c r="B8" s="17" t="str" cm="1">
        <f t="array" ref="B8">IF($A8="","",IFERROR(LOOKUP(2,1/(($K$3:$K$200="Soldadura")*((($M$3:$M$200=$A8)+($N$3:$N$200=$A8)+($O$3:$O$200=$A8)+($P$3:$P$200=$A8)+($Q$3:$Q$200=$A8)+($R$3:$R$200=$A8)+($S$3:$S$200=$A8)+($T$3:$T$200=$A8)+($U$3:$U$200=$A8)+($V$3:$V$200=$A8)+($W$3:$W$200=$A8)+($X$3:$X$200=$A8)+($Y$3:$Y$200=$A8)+($Z$3:$Z$200=$A8)+($AA$3:$AA$200=$A8))&gt;0)),$L$3:$L$200),"PENDIENTE"))</f>
        <v>PENDIENTE</v>
      </c>
      <c r="C8" s="17" t="str" cm="1">
        <f t="array" ref="C8">IF($A8="","",IFERROR(LOOKUP(2,1/(($K$3:$K$200="Programación")*((($M$3:$M$200=$A8)+($N$3:$N$200=$A8)+($O$3:$O$200=$A8)+($P$3:$P$200=$A8)+($Q$3:$Q$200=$A8)+($R$3:$R$200=$A8)+($S$3:$S$200=$A8)+($T$3:$T$200=$A8)+($U$3:$U$200=$A8)+($V$3:$V$200=$A8)+($W$3:$W$200=$A8)+($X$3:$X$200=$A8)+($Y$3:$Y$200=$A8)+($Z$3:$Z$200=$A8)+($AA$3:$AA$200=$A8))&gt;0)),$L$3:$L$200),"PENDIENTE"))</f>
        <v>PENDIENTE</v>
      </c>
      <c r="D8" s="17" t="str" cm="1">
        <f t="array" ref="D8">IF($A8="","",IFERROR(LOOKUP(2,1/(($K$3:$K$200="Prueba PCB")*((($M$3:$M$200=$A8)+($N$3:$N$200=$A8)+($O$3:$O$200=$A8)+($P$3:$P$200=$A8)+($Q$3:$Q$200=$A8)+($R$3:$R$200=$A8)+($S$3:$S$200=$A8)+($T$3:$T$200=$A8)+($U$3:$U$200=$A8)+($V$3:$V$200=$A8)+($W$3:$W$200=$A8)+($X$3:$X$200=$A8)+($Y$3:$Y$200=$A8)+($Z$3:$Z$200=$A8)+($AA$3:$AA$200=$A8))&gt;0)),$L$3:$L$200),"PENDIENTE"))</f>
        <v>PENDIENTE</v>
      </c>
      <c r="E8" s="17" t="str" cm="1">
        <f t="array" ref="E8">IF($A8="","",IFERROR(LOOKUP(2,1/(($K$3:$K$200="Integración")*((($M$3:$M$200=$A8)+($N$3:$N$200=$A8)+($O$3:$O$200=$A8)+($P$3:$P$200=$A8)+($Q$3:$Q$200=$A8)+($R$3:$R$200=$A8)+($S$3:$S$200=$A8)+($T$3:$T$200=$A8)+($U$3:$U$200=$A8)+($V$3:$V$200=$A8)+($W$3:$W$200=$A8)+($X$3:$X$200=$A8)+($Y$3:$Y$200=$A8)+($Z$3:$Z$200=$A8)+($AA$3:$AA$200=$A8))&gt;0)),$L$3:$L$200),"PENDIENTE"))</f>
        <v>PENDIENTE</v>
      </c>
      <c r="F8" s="17" t="str" cm="1">
        <f t="array" ref="F8">IF($A8="","",IFERROR(LOOKUP(2,1/(($K$3:$K$200="Prueba Final")*((($M$3:$M$200=$A8)+($N$3:$N$200=$A8)+($O$3:$O$200=$A8)+($P$3:$P$200=$A8)+($Q$3:$Q$200=$A8)+($R$3:$R$200=$A8)+($S$3:$S$200=$A8)+($T$3:$T$200=$A8)+($U$3:$U$200=$A8)+($V$3:$V$200=$A8)+($W$3:$W$200=$A8)+($X$3:$X$200=$A8)+($Y$3:$Y$200=$A8)+($Z$3:$Z$200=$A8)+($AA$3:$AA$200=$A8))&gt;0)),$L$3:$L$200),"PENDIENTE"))</f>
        <v>PENDIENTE</v>
      </c>
      <c r="G8" s="17" t="str">
        <f t="shared" si="0"/>
        <v>PENDIENTE</v>
      </c>
      <c r="H8" s="20"/>
      <c r="I8" s="20"/>
      <c r="J8" s="25"/>
      <c r="K8" s="26"/>
      <c r="L8" s="26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"/>
    </row>
    <row r="9" spans="1:28" ht="17.7" customHeight="1">
      <c r="A9" s="16" t="str">
        <f>IF(Producción!A9="","",Producción!A9)</f>
        <v>0019</v>
      </c>
      <c r="B9" s="17" t="str" cm="1">
        <f t="array" ref="B9">IF($A9="","",IFERROR(LOOKUP(2,1/(($K$3:$K$200="Soldadura")*((($M$3:$M$200=$A9)+($N$3:$N$200=$A9)+($O$3:$O$200=$A9)+($P$3:$P$200=$A9)+($Q$3:$Q$200=$A9)+($R$3:$R$200=$A9)+($S$3:$S$200=$A9)+($T$3:$T$200=$A9)+($U$3:$U$200=$A9)+($V$3:$V$200=$A9)+($W$3:$W$200=$A9)+($X$3:$X$200=$A9)+($Y$3:$Y$200=$A9)+($Z$3:$Z$200=$A9)+($AA$3:$AA$200=$A9))&gt;0)),$L$3:$L$200),"PENDIENTE"))</f>
        <v>PENDIENTE</v>
      </c>
      <c r="C9" s="17" t="str" cm="1">
        <f t="array" ref="C9">IF($A9="","",IFERROR(LOOKUP(2,1/(($K$3:$K$200="Programación")*((($M$3:$M$200=$A9)+($N$3:$N$200=$A9)+($O$3:$O$200=$A9)+($P$3:$P$200=$A9)+($Q$3:$Q$200=$A9)+($R$3:$R$200=$A9)+($S$3:$S$200=$A9)+($T$3:$T$200=$A9)+($U$3:$U$200=$A9)+($V$3:$V$200=$A9)+($W$3:$W$200=$A9)+($X$3:$X$200=$A9)+($Y$3:$Y$200=$A9)+($Z$3:$Z$200=$A9)+($AA$3:$AA$200=$A9))&gt;0)),$L$3:$L$200),"PENDIENTE"))</f>
        <v>PENDIENTE</v>
      </c>
      <c r="D9" s="17" t="str" cm="1">
        <f t="array" ref="D9">IF($A9="","",IFERROR(LOOKUP(2,1/(($K$3:$K$200="Prueba PCB")*((($M$3:$M$200=$A9)+($N$3:$N$200=$A9)+($O$3:$O$200=$A9)+($P$3:$P$200=$A9)+($Q$3:$Q$200=$A9)+($R$3:$R$200=$A9)+($S$3:$S$200=$A9)+($T$3:$T$200=$A9)+($U$3:$U$200=$A9)+($V$3:$V$200=$A9)+($W$3:$W$200=$A9)+($X$3:$X$200=$A9)+($Y$3:$Y$200=$A9)+($Z$3:$Z$200=$A9)+($AA$3:$AA$200=$A9))&gt;0)),$L$3:$L$200),"PENDIENTE"))</f>
        <v>PENDIENTE</v>
      </c>
      <c r="E9" s="17" t="str" cm="1">
        <f t="array" ref="E9">IF($A9="","",IFERROR(LOOKUP(2,1/(($K$3:$K$200="Integración")*((($M$3:$M$200=$A9)+($N$3:$N$200=$A9)+($O$3:$O$200=$A9)+($P$3:$P$200=$A9)+($Q$3:$Q$200=$A9)+($R$3:$R$200=$A9)+($S$3:$S$200=$A9)+($T$3:$T$200=$A9)+($U$3:$U$200=$A9)+($V$3:$V$200=$A9)+($W$3:$W$200=$A9)+($X$3:$X$200=$A9)+($Y$3:$Y$200=$A9)+($Z$3:$Z$200=$A9)+($AA$3:$AA$200=$A9))&gt;0)),$L$3:$L$200),"PENDIENTE"))</f>
        <v>PENDIENTE</v>
      </c>
      <c r="F9" s="17" t="str" cm="1">
        <f t="array" ref="F9">IF($A9="","",IFERROR(LOOKUP(2,1/(($K$3:$K$200="Prueba Final")*((($M$3:$M$200=$A9)+($N$3:$N$200=$A9)+($O$3:$O$200=$A9)+($P$3:$P$200=$A9)+($Q$3:$Q$200=$A9)+($R$3:$R$200=$A9)+($S$3:$S$200=$A9)+($T$3:$T$200=$A9)+($U$3:$U$200=$A9)+($V$3:$V$200=$A9)+($W$3:$W$200=$A9)+($X$3:$X$200=$A9)+($Y$3:$Y$200=$A9)+($Z$3:$Z$200=$A9)+($AA$3:$AA$200=$A9))&gt;0)),$L$3:$L$200),"PENDIENTE"))</f>
        <v>PENDIENTE</v>
      </c>
      <c r="G9" s="17" t="str">
        <f t="shared" si="0"/>
        <v>PENDIENTE</v>
      </c>
      <c r="H9" s="20"/>
      <c r="I9" s="20"/>
      <c r="J9" s="25"/>
      <c r="K9" s="26"/>
      <c r="L9" s="26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"/>
    </row>
    <row r="10" spans="1:28" ht="17.7" customHeight="1">
      <c r="A10" s="16" t="str">
        <f>IF(Producción!A10="","",Producción!A10)</f>
        <v>0020</v>
      </c>
      <c r="B10" s="17" t="str" cm="1">
        <f t="array" ref="B10">IF($A10="","",IFERROR(LOOKUP(2,1/(($K$3:$K$200="Soldadura")*((($M$3:$M$200=$A10)+($N$3:$N$200=$A10)+($O$3:$O$200=$A10)+($P$3:$P$200=$A10)+($Q$3:$Q$200=$A10)+($R$3:$R$200=$A10)+($S$3:$S$200=$A10)+($T$3:$T$200=$A10)+($U$3:$U$200=$A10)+($V$3:$V$200=$A10)+($W$3:$W$200=$A10)+($X$3:$X$200=$A10)+($Y$3:$Y$200=$A10)+($Z$3:$Z$200=$A10)+($AA$3:$AA$200=$A10))&gt;0)),$L$3:$L$200),"PENDIENTE"))</f>
        <v>PENDIENTE</v>
      </c>
      <c r="C10" s="17" t="str" cm="1">
        <f t="array" ref="C10">IF($A10="","",IFERROR(LOOKUP(2,1/(($K$3:$K$200="Programación")*((($M$3:$M$200=$A10)+($N$3:$N$200=$A10)+($O$3:$O$200=$A10)+($P$3:$P$200=$A10)+($Q$3:$Q$200=$A10)+($R$3:$R$200=$A10)+($S$3:$S$200=$A10)+($T$3:$T$200=$A10)+($U$3:$U$200=$A10)+($V$3:$V$200=$A10)+($W$3:$W$200=$A10)+($X$3:$X$200=$A10)+($Y$3:$Y$200=$A10)+($Z$3:$Z$200=$A10)+($AA$3:$AA$200=$A10))&gt;0)),$L$3:$L$200),"PENDIENTE"))</f>
        <v>PENDIENTE</v>
      </c>
      <c r="D10" s="17" t="str" cm="1">
        <f t="array" ref="D10">IF($A10="","",IFERROR(LOOKUP(2,1/(($K$3:$K$200="Prueba PCB")*((($M$3:$M$200=$A10)+($N$3:$N$200=$A10)+($O$3:$O$200=$A10)+($P$3:$P$200=$A10)+($Q$3:$Q$200=$A10)+($R$3:$R$200=$A10)+($S$3:$S$200=$A10)+($T$3:$T$200=$A10)+($U$3:$U$200=$A10)+($V$3:$V$200=$A10)+($W$3:$W$200=$A10)+($X$3:$X$200=$A10)+($Y$3:$Y$200=$A10)+($Z$3:$Z$200=$A10)+($AA$3:$AA$200=$A10))&gt;0)),$L$3:$L$200),"PENDIENTE"))</f>
        <v>PENDIENTE</v>
      </c>
      <c r="E10" s="17" t="str" cm="1">
        <f t="array" ref="E10">IF($A10="","",IFERROR(LOOKUP(2,1/(($K$3:$K$200="Integración")*((($M$3:$M$200=$A10)+($N$3:$N$200=$A10)+($O$3:$O$200=$A10)+($P$3:$P$200=$A10)+($Q$3:$Q$200=$A10)+($R$3:$R$200=$A10)+($S$3:$S$200=$A10)+($T$3:$T$200=$A10)+($U$3:$U$200=$A10)+($V$3:$V$200=$A10)+($W$3:$W$200=$A10)+($X$3:$X$200=$A10)+($Y$3:$Y$200=$A10)+($Z$3:$Z$200=$A10)+($AA$3:$AA$200=$A10))&gt;0)),$L$3:$L$200),"PENDIENTE"))</f>
        <v>PENDIENTE</v>
      </c>
      <c r="F10" s="17" t="str" cm="1">
        <f t="array" ref="F10">IF($A10="","",IFERROR(LOOKUP(2,1/(($K$3:$K$200="Prueba Final")*((($M$3:$M$200=$A10)+($N$3:$N$200=$A10)+($O$3:$O$200=$A10)+($P$3:$P$200=$A10)+($Q$3:$Q$200=$A10)+($R$3:$R$200=$A10)+($S$3:$S$200=$A10)+($T$3:$T$200=$A10)+($U$3:$U$200=$A10)+($V$3:$V$200=$A10)+($W$3:$W$200=$A10)+($X$3:$X$200=$A10)+($Y$3:$Y$200=$A10)+($Z$3:$Z$200=$A10)+($AA$3:$AA$200=$A10))&gt;0)),$L$3:$L$200),"PENDIENTE"))</f>
        <v>PENDIENTE</v>
      </c>
      <c r="G10" s="17" t="str">
        <f t="shared" si="0"/>
        <v>PENDIENTE</v>
      </c>
      <c r="H10" s="20"/>
      <c r="I10" s="20"/>
      <c r="J10" s="25"/>
      <c r="K10" s="26"/>
      <c r="L10" s="26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"/>
    </row>
    <row r="11" spans="1:28" ht="17.7" customHeight="1">
      <c r="A11" s="16" t="str">
        <f>IF(Producción!A11="","",Producción!A11)</f>
        <v>0021</v>
      </c>
      <c r="B11" s="17" t="str" cm="1">
        <f t="array" ref="B11">IF($A11="","",IFERROR(LOOKUP(2,1/(($K$3:$K$200="Soldadura")*((($M$3:$M$200=$A11)+($N$3:$N$200=$A11)+($O$3:$O$200=$A11)+($P$3:$P$200=$A11)+($Q$3:$Q$200=$A11)+($R$3:$R$200=$A11)+($S$3:$S$200=$A11)+($T$3:$T$200=$A11)+($U$3:$U$200=$A11)+($V$3:$V$200=$A11)+($W$3:$W$200=$A11)+($X$3:$X$200=$A11)+($Y$3:$Y$200=$A11)+($Z$3:$Z$200=$A11)+($AA$3:$AA$200=$A11))&gt;0)),$L$3:$L$200),"PENDIENTE"))</f>
        <v>PENDIENTE</v>
      </c>
      <c r="C11" s="17" t="str" cm="1">
        <f t="array" ref="C11">IF($A11="","",IFERROR(LOOKUP(2,1/(($K$3:$K$200="Programación")*((($M$3:$M$200=$A11)+($N$3:$N$200=$A11)+($O$3:$O$200=$A11)+($P$3:$P$200=$A11)+($Q$3:$Q$200=$A11)+($R$3:$R$200=$A11)+($S$3:$S$200=$A11)+($T$3:$T$200=$A11)+($U$3:$U$200=$A11)+($V$3:$V$200=$A11)+($W$3:$W$200=$A11)+($X$3:$X$200=$A11)+($Y$3:$Y$200=$A11)+($Z$3:$Z$200=$A11)+($AA$3:$AA$200=$A11))&gt;0)),$L$3:$L$200),"PENDIENTE"))</f>
        <v>PENDIENTE</v>
      </c>
      <c r="D11" s="17" t="str" cm="1">
        <f t="array" ref="D11">IF($A11="","",IFERROR(LOOKUP(2,1/(($K$3:$K$200="Prueba PCB")*((($M$3:$M$200=$A11)+($N$3:$N$200=$A11)+($O$3:$O$200=$A11)+($P$3:$P$200=$A11)+($Q$3:$Q$200=$A11)+($R$3:$R$200=$A11)+($S$3:$S$200=$A11)+($T$3:$T$200=$A11)+($U$3:$U$200=$A11)+($V$3:$V$200=$A11)+($W$3:$W$200=$A11)+($X$3:$X$200=$A11)+($Y$3:$Y$200=$A11)+($Z$3:$Z$200=$A11)+($AA$3:$AA$200=$A11))&gt;0)),$L$3:$L$200),"PENDIENTE"))</f>
        <v>PENDIENTE</v>
      </c>
      <c r="E11" s="17" t="str" cm="1">
        <f t="array" ref="E11">IF($A11="","",IFERROR(LOOKUP(2,1/(($K$3:$K$200="Integración")*((($M$3:$M$200=$A11)+($N$3:$N$200=$A11)+($O$3:$O$200=$A11)+($P$3:$P$200=$A11)+($Q$3:$Q$200=$A11)+($R$3:$R$200=$A11)+($S$3:$S$200=$A11)+($T$3:$T$200=$A11)+($U$3:$U$200=$A11)+($V$3:$V$200=$A11)+($W$3:$W$200=$A11)+($X$3:$X$200=$A11)+($Y$3:$Y$200=$A11)+($Z$3:$Z$200=$A11)+($AA$3:$AA$200=$A11))&gt;0)),$L$3:$L$200),"PENDIENTE"))</f>
        <v>PENDIENTE</v>
      </c>
      <c r="F11" s="17" t="str" cm="1">
        <f t="array" ref="F11">IF($A11="","",IFERROR(LOOKUP(2,1/(($K$3:$K$200="Prueba Final")*((($M$3:$M$200=$A11)+($N$3:$N$200=$A11)+($O$3:$O$200=$A11)+($P$3:$P$200=$A11)+($Q$3:$Q$200=$A11)+($R$3:$R$200=$A11)+($S$3:$S$200=$A11)+($T$3:$T$200=$A11)+($U$3:$U$200=$A11)+($V$3:$V$200=$A11)+($W$3:$W$200=$A11)+($X$3:$X$200=$A11)+($Y$3:$Y$200=$A11)+($Z$3:$Z$200=$A11)+($AA$3:$AA$200=$A11))&gt;0)),$L$3:$L$200),"PENDIENTE"))</f>
        <v>PENDIENTE</v>
      </c>
      <c r="G11" s="17" t="str">
        <f t="shared" si="0"/>
        <v>PENDIENTE</v>
      </c>
      <c r="H11" s="20"/>
      <c r="I11" s="20"/>
      <c r="J11" s="25"/>
      <c r="K11" s="26"/>
      <c r="L11" s="26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"/>
    </row>
    <row r="12" spans="1:28" ht="17.7" customHeight="1">
      <c r="A12" s="16" t="str">
        <f>IF(Producción!A12="","",Producción!A12)</f>
        <v>0022</v>
      </c>
      <c r="B12" s="17" t="str" cm="1">
        <f t="array" ref="B12">IF($A12="","",IFERROR(LOOKUP(2,1/(($K$3:$K$200="Soldadura")*((($M$3:$M$200=$A12)+($N$3:$N$200=$A12)+($O$3:$O$200=$A12)+($P$3:$P$200=$A12)+($Q$3:$Q$200=$A12)+($R$3:$R$200=$A12)+($S$3:$S$200=$A12)+($T$3:$T$200=$A12)+($U$3:$U$200=$A12)+($V$3:$V$200=$A12)+($W$3:$W$200=$A12)+($X$3:$X$200=$A12)+($Y$3:$Y$200=$A12)+($Z$3:$Z$200=$A12)+($AA$3:$AA$200=$A12))&gt;0)),$L$3:$L$200),"PENDIENTE"))</f>
        <v>PENDIENTE</v>
      </c>
      <c r="C12" s="17" t="str" cm="1">
        <f t="array" ref="C12">IF($A12="","",IFERROR(LOOKUP(2,1/(($K$3:$K$200="Programación")*((($M$3:$M$200=$A12)+($N$3:$N$200=$A12)+($O$3:$O$200=$A12)+($P$3:$P$200=$A12)+($Q$3:$Q$200=$A12)+($R$3:$R$200=$A12)+($S$3:$S$200=$A12)+($T$3:$T$200=$A12)+($U$3:$U$200=$A12)+($V$3:$V$200=$A12)+($W$3:$W$200=$A12)+($X$3:$X$200=$A12)+($Y$3:$Y$200=$A12)+($Z$3:$Z$200=$A12)+($AA$3:$AA$200=$A12))&gt;0)),$L$3:$L$200),"PENDIENTE"))</f>
        <v>PENDIENTE</v>
      </c>
      <c r="D12" s="17" t="str" cm="1">
        <f t="array" ref="D12">IF($A12="","",IFERROR(LOOKUP(2,1/(($K$3:$K$200="Prueba PCB")*((($M$3:$M$200=$A12)+($N$3:$N$200=$A12)+($O$3:$O$200=$A12)+($P$3:$P$200=$A12)+($Q$3:$Q$200=$A12)+($R$3:$R$200=$A12)+($S$3:$S$200=$A12)+($T$3:$T$200=$A12)+($U$3:$U$200=$A12)+($V$3:$V$200=$A12)+($W$3:$W$200=$A12)+($X$3:$X$200=$A12)+($Y$3:$Y$200=$A12)+($Z$3:$Z$200=$A12)+($AA$3:$AA$200=$A12))&gt;0)),$L$3:$L$200),"PENDIENTE"))</f>
        <v>PENDIENTE</v>
      </c>
      <c r="E12" s="17" t="str" cm="1">
        <f t="array" ref="E12">IF($A12="","",IFERROR(LOOKUP(2,1/(($K$3:$K$200="Integración")*((($M$3:$M$200=$A12)+($N$3:$N$200=$A12)+($O$3:$O$200=$A12)+($P$3:$P$200=$A12)+($Q$3:$Q$200=$A12)+($R$3:$R$200=$A12)+($S$3:$S$200=$A12)+($T$3:$T$200=$A12)+($U$3:$U$200=$A12)+($V$3:$V$200=$A12)+($W$3:$W$200=$A12)+($X$3:$X$200=$A12)+($Y$3:$Y$200=$A12)+($Z$3:$Z$200=$A12)+($AA$3:$AA$200=$A12))&gt;0)),$L$3:$L$200),"PENDIENTE"))</f>
        <v>PENDIENTE</v>
      </c>
      <c r="F12" s="17" t="str" cm="1">
        <f t="array" ref="F12">IF($A12="","",IFERROR(LOOKUP(2,1/(($K$3:$K$200="Prueba Final")*((($M$3:$M$200=$A12)+($N$3:$N$200=$A12)+($O$3:$O$200=$A12)+($P$3:$P$200=$A12)+($Q$3:$Q$200=$A12)+($R$3:$R$200=$A12)+($S$3:$S$200=$A12)+($T$3:$T$200=$A12)+($U$3:$U$200=$A12)+($V$3:$V$200=$A12)+($W$3:$W$200=$A12)+($X$3:$X$200=$A12)+($Y$3:$Y$200=$A12)+($Z$3:$Z$200=$A12)+($AA$3:$AA$200=$A12))&gt;0)),$L$3:$L$200),"PENDIENTE"))</f>
        <v>PENDIENTE</v>
      </c>
      <c r="G12" s="17" t="str">
        <f t="shared" si="0"/>
        <v>PENDIENTE</v>
      </c>
      <c r="H12" s="20"/>
      <c r="I12" s="20"/>
      <c r="J12" s="25"/>
      <c r="K12" s="26"/>
      <c r="L12" s="26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"/>
    </row>
    <row r="13" spans="1:28" ht="17.7" customHeight="1">
      <c r="A13" s="16" t="str">
        <f>IF(Producción!A13="","",Producción!A13)</f>
        <v>0023</v>
      </c>
      <c r="B13" s="17" t="str" cm="1">
        <f t="array" ref="B13">IF($A13="","",IFERROR(LOOKUP(2,1/(($K$3:$K$200="Soldadura")*((($M$3:$M$200=$A13)+($N$3:$N$200=$A13)+($O$3:$O$200=$A13)+($P$3:$P$200=$A13)+($Q$3:$Q$200=$A13)+($R$3:$R$200=$A13)+($S$3:$S$200=$A13)+($T$3:$T$200=$A13)+($U$3:$U$200=$A13)+($V$3:$V$200=$A13)+($W$3:$W$200=$A13)+($X$3:$X$200=$A13)+($Y$3:$Y$200=$A13)+($Z$3:$Z$200=$A13)+($AA$3:$AA$200=$A13))&gt;0)),$L$3:$L$200),"PENDIENTE"))</f>
        <v>PENDIENTE</v>
      </c>
      <c r="C13" s="17" t="str" cm="1">
        <f t="array" ref="C13">IF($A13="","",IFERROR(LOOKUP(2,1/(($K$3:$K$200="Programación")*((($M$3:$M$200=$A13)+($N$3:$N$200=$A13)+($O$3:$O$200=$A13)+($P$3:$P$200=$A13)+($Q$3:$Q$200=$A13)+($R$3:$R$200=$A13)+($S$3:$S$200=$A13)+($T$3:$T$200=$A13)+($U$3:$U$200=$A13)+($V$3:$V$200=$A13)+($W$3:$W$200=$A13)+($X$3:$X$200=$A13)+($Y$3:$Y$200=$A13)+($Z$3:$Z$200=$A13)+($AA$3:$AA$200=$A13))&gt;0)),$L$3:$L$200),"PENDIENTE"))</f>
        <v>PENDIENTE</v>
      </c>
      <c r="D13" s="17" t="str" cm="1">
        <f t="array" ref="D13">IF($A13="","",IFERROR(LOOKUP(2,1/(($K$3:$K$200="Prueba PCB")*((($M$3:$M$200=$A13)+($N$3:$N$200=$A13)+($O$3:$O$200=$A13)+($P$3:$P$200=$A13)+($Q$3:$Q$200=$A13)+($R$3:$R$200=$A13)+($S$3:$S$200=$A13)+($T$3:$T$200=$A13)+($U$3:$U$200=$A13)+($V$3:$V$200=$A13)+($W$3:$W$200=$A13)+($X$3:$X$200=$A13)+($Y$3:$Y$200=$A13)+($Z$3:$Z$200=$A13)+($AA$3:$AA$200=$A13))&gt;0)),$L$3:$L$200),"PENDIENTE"))</f>
        <v>PENDIENTE</v>
      </c>
      <c r="E13" s="17" t="str" cm="1">
        <f t="array" ref="E13">IF($A13="","",IFERROR(LOOKUP(2,1/(($K$3:$K$200="Integración")*((($M$3:$M$200=$A13)+($N$3:$N$200=$A13)+($O$3:$O$200=$A13)+($P$3:$P$200=$A13)+($Q$3:$Q$200=$A13)+($R$3:$R$200=$A13)+($S$3:$S$200=$A13)+($T$3:$T$200=$A13)+($U$3:$U$200=$A13)+($V$3:$V$200=$A13)+($W$3:$W$200=$A13)+($X$3:$X$200=$A13)+($Y$3:$Y$200=$A13)+($Z$3:$Z$200=$A13)+($AA$3:$AA$200=$A13))&gt;0)),$L$3:$L$200),"PENDIENTE"))</f>
        <v>PENDIENTE</v>
      </c>
      <c r="F13" s="17" t="str" cm="1">
        <f t="array" ref="F13">IF($A13="","",IFERROR(LOOKUP(2,1/(($K$3:$K$200="Prueba Final")*((($M$3:$M$200=$A13)+($N$3:$N$200=$A13)+($O$3:$O$200=$A13)+($P$3:$P$200=$A13)+($Q$3:$Q$200=$A13)+($R$3:$R$200=$A13)+($S$3:$S$200=$A13)+($T$3:$T$200=$A13)+($U$3:$U$200=$A13)+($V$3:$V$200=$A13)+($W$3:$W$200=$A13)+($X$3:$X$200=$A13)+($Y$3:$Y$200=$A13)+($Z$3:$Z$200=$A13)+($AA$3:$AA$200=$A13))&gt;0)),$L$3:$L$200),"PENDIENTE"))</f>
        <v>PENDIENTE</v>
      </c>
      <c r="G13" s="17" t="str">
        <f t="shared" si="0"/>
        <v>PENDIENTE</v>
      </c>
      <c r="H13" s="20"/>
      <c r="I13" s="20"/>
      <c r="J13" s="25"/>
      <c r="K13" s="26"/>
      <c r="L13" s="26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"/>
    </row>
    <row r="14" spans="1:28" ht="17.7" customHeight="1">
      <c r="A14" s="16" t="str">
        <f>IF(Producción!A14="","",Producción!A14)</f>
        <v>0024</v>
      </c>
      <c r="B14" s="17" t="str" cm="1">
        <f t="array" ref="B14">IF($A14="","",IFERROR(LOOKUP(2,1/(($K$3:$K$200="Soldadura")*((($M$3:$M$200=$A14)+($N$3:$N$200=$A14)+($O$3:$O$200=$A14)+($P$3:$P$200=$A14)+($Q$3:$Q$200=$A14)+($R$3:$R$200=$A14)+($S$3:$S$200=$A14)+($T$3:$T$200=$A14)+($U$3:$U$200=$A14)+($V$3:$V$200=$A14)+($W$3:$W$200=$A14)+($X$3:$X$200=$A14)+($Y$3:$Y$200=$A14)+($Z$3:$Z$200=$A14)+($AA$3:$AA$200=$A14))&gt;0)),$L$3:$L$200),"PENDIENTE"))</f>
        <v>PENDIENTE</v>
      </c>
      <c r="C14" s="17" t="str" cm="1">
        <f t="array" ref="C14">IF($A14="","",IFERROR(LOOKUP(2,1/(($K$3:$K$200="Programación")*((($M$3:$M$200=$A14)+($N$3:$N$200=$A14)+($O$3:$O$200=$A14)+($P$3:$P$200=$A14)+($Q$3:$Q$200=$A14)+($R$3:$R$200=$A14)+($S$3:$S$200=$A14)+($T$3:$T$200=$A14)+($U$3:$U$200=$A14)+($V$3:$V$200=$A14)+($W$3:$W$200=$A14)+($X$3:$X$200=$A14)+($Y$3:$Y$200=$A14)+($Z$3:$Z$200=$A14)+($AA$3:$AA$200=$A14))&gt;0)),$L$3:$L$200),"PENDIENTE"))</f>
        <v>PENDIENTE</v>
      </c>
      <c r="D14" s="17" t="str" cm="1">
        <f t="array" ref="D14">IF($A14="","",IFERROR(LOOKUP(2,1/(($K$3:$K$200="Prueba PCB")*((($M$3:$M$200=$A14)+($N$3:$N$200=$A14)+($O$3:$O$200=$A14)+($P$3:$P$200=$A14)+($Q$3:$Q$200=$A14)+($R$3:$R$200=$A14)+($S$3:$S$200=$A14)+($T$3:$T$200=$A14)+($U$3:$U$200=$A14)+($V$3:$V$200=$A14)+($W$3:$W$200=$A14)+($X$3:$X$200=$A14)+($Y$3:$Y$200=$A14)+($Z$3:$Z$200=$A14)+($AA$3:$AA$200=$A14))&gt;0)),$L$3:$L$200),"PENDIENTE"))</f>
        <v>PENDIENTE</v>
      </c>
      <c r="E14" s="17" t="str" cm="1">
        <f t="array" ref="E14">IF($A14="","",IFERROR(LOOKUP(2,1/(($K$3:$K$200="Integración")*((($M$3:$M$200=$A14)+($N$3:$N$200=$A14)+($O$3:$O$200=$A14)+($P$3:$P$200=$A14)+($Q$3:$Q$200=$A14)+($R$3:$R$200=$A14)+($S$3:$S$200=$A14)+($T$3:$T$200=$A14)+($U$3:$U$200=$A14)+($V$3:$V$200=$A14)+($W$3:$W$200=$A14)+($X$3:$X$200=$A14)+($Y$3:$Y$200=$A14)+($Z$3:$Z$200=$A14)+($AA$3:$AA$200=$A14))&gt;0)),$L$3:$L$200),"PENDIENTE"))</f>
        <v>PENDIENTE</v>
      </c>
      <c r="F14" s="17" t="str" cm="1">
        <f t="array" ref="F14">IF($A14="","",IFERROR(LOOKUP(2,1/(($K$3:$K$200="Prueba Final")*((($M$3:$M$200=$A14)+($N$3:$N$200=$A14)+($O$3:$O$200=$A14)+($P$3:$P$200=$A14)+($Q$3:$Q$200=$A14)+($R$3:$R$200=$A14)+($S$3:$S$200=$A14)+($T$3:$T$200=$A14)+($U$3:$U$200=$A14)+($V$3:$V$200=$A14)+($W$3:$W$200=$A14)+($X$3:$X$200=$A14)+($Y$3:$Y$200=$A14)+($Z$3:$Z$200=$A14)+($AA$3:$AA$200=$A14))&gt;0)),$L$3:$L$200),"PENDIENTE"))</f>
        <v>PENDIENTE</v>
      </c>
      <c r="G14" s="17" t="str">
        <f t="shared" si="0"/>
        <v>PENDIENTE</v>
      </c>
      <c r="H14" s="20"/>
      <c r="I14" s="20"/>
      <c r="J14" s="25"/>
      <c r="K14" s="26"/>
      <c r="L14" s="26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"/>
    </row>
    <row r="15" spans="1:28" ht="17.7" customHeight="1">
      <c r="A15" s="16" t="str">
        <f>IF(Producción!A15="","",Producción!A15)</f>
        <v>0025</v>
      </c>
      <c r="B15" s="17" t="str" cm="1">
        <f t="array" ref="B15">IF($A15="","",IFERROR(LOOKUP(2,1/(($K$3:$K$200="Soldadura")*((($M$3:$M$200=$A15)+($N$3:$N$200=$A15)+($O$3:$O$200=$A15)+($P$3:$P$200=$A15)+($Q$3:$Q$200=$A15)+($R$3:$R$200=$A15)+($S$3:$S$200=$A15)+($T$3:$T$200=$A15)+($U$3:$U$200=$A15)+($V$3:$V$200=$A15)+($W$3:$W$200=$A15)+($X$3:$X$200=$A15)+($Y$3:$Y$200=$A15)+($Z$3:$Z$200=$A15)+($AA$3:$AA$200=$A15))&gt;0)),$L$3:$L$200),"PENDIENTE"))</f>
        <v>PENDIENTE</v>
      </c>
      <c r="C15" s="17" t="str" cm="1">
        <f t="array" ref="C15">IF($A15="","",IFERROR(LOOKUP(2,1/(($K$3:$K$200="Programación")*((($M$3:$M$200=$A15)+($N$3:$N$200=$A15)+($O$3:$O$200=$A15)+($P$3:$P$200=$A15)+($Q$3:$Q$200=$A15)+($R$3:$R$200=$A15)+($S$3:$S$200=$A15)+($T$3:$T$200=$A15)+($U$3:$U$200=$A15)+($V$3:$V$200=$A15)+($W$3:$W$200=$A15)+($X$3:$X$200=$A15)+($Y$3:$Y$200=$A15)+($Z$3:$Z$200=$A15)+($AA$3:$AA$200=$A15))&gt;0)),$L$3:$L$200),"PENDIENTE"))</f>
        <v>PENDIENTE</v>
      </c>
      <c r="D15" s="17" t="str" cm="1">
        <f t="array" ref="D15">IF($A15="","",IFERROR(LOOKUP(2,1/(($K$3:$K$200="Prueba PCB")*((($M$3:$M$200=$A15)+($N$3:$N$200=$A15)+($O$3:$O$200=$A15)+($P$3:$P$200=$A15)+($Q$3:$Q$200=$A15)+($R$3:$R$200=$A15)+($S$3:$S$200=$A15)+($T$3:$T$200=$A15)+($U$3:$U$200=$A15)+($V$3:$V$200=$A15)+($W$3:$W$200=$A15)+($X$3:$X$200=$A15)+($Y$3:$Y$200=$A15)+($Z$3:$Z$200=$A15)+($AA$3:$AA$200=$A15))&gt;0)),$L$3:$L$200),"PENDIENTE"))</f>
        <v>PENDIENTE</v>
      </c>
      <c r="E15" s="17" t="str" cm="1">
        <f t="array" ref="E15">IF($A15="","",IFERROR(LOOKUP(2,1/(($K$3:$K$200="Integración")*((($M$3:$M$200=$A15)+($N$3:$N$200=$A15)+($O$3:$O$200=$A15)+($P$3:$P$200=$A15)+($Q$3:$Q$200=$A15)+($R$3:$R$200=$A15)+($S$3:$S$200=$A15)+($T$3:$T$200=$A15)+($U$3:$U$200=$A15)+($V$3:$V$200=$A15)+($W$3:$W$200=$A15)+($X$3:$X$200=$A15)+($Y$3:$Y$200=$A15)+($Z$3:$Z$200=$A15)+($AA$3:$AA$200=$A15))&gt;0)),$L$3:$L$200),"PENDIENTE"))</f>
        <v>PENDIENTE</v>
      </c>
      <c r="F15" s="17" t="str" cm="1">
        <f t="array" ref="F15">IF($A15="","",IFERROR(LOOKUP(2,1/(($K$3:$K$200="Prueba Final")*((($M$3:$M$200=$A15)+($N$3:$N$200=$A15)+($O$3:$O$200=$A15)+($P$3:$P$200=$A15)+($Q$3:$Q$200=$A15)+($R$3:$R$200=$A15)+($S$3:$S$200=$A15)+($T$3:$T$200=$A15)+($U$3:$U$200=$A15)+($V$3:$V$200=$A15)+($W$3:$W$200=$A15)+($X$3:$X$200=$A15)+($Y$3:$Y$200=$A15)+($Z$3:$Z$200=$A15)+($AA$3:$AA$200=$A15))&gt;0)),$L$3:$L$200),"PENDIENTE"))</f>
        <v>PENDIENTE</v>
      </c>
      <c r="G15" s="17" t="str">
        <f t="shared" si="0"/>
        <v>PENDIENTE</v>
      </c>
      <c r="H15" s="20"/>
      <c r="I15" s="20"/>
      <c r="J15" s="25"/>
      <c r="K15" s="26"/>
      <c r="L15" s="26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"/>
    </row>
    <row r="16" spans="1:28" ht="17.7" customHeight="1">
      <c r="A16" s="16" t="str">
        <f>IF(Producción!A16="","",Producción!A16)</f>
        <v>0026</v>
      </c>
      <c r="B16" s="17" t="str" cm="1">
        <f t="array" ref="B16">IF($A16="","",IFERROR(LOOKUP(2,1/(($K$3:$K$200="Soldadura")*((($M$3:$M$200=$A16)+($N$3:$N$200=$A16)+($O$3:$O$200=$A16)+($P$3:$P$200=$A16)+($Q$3:$Q$200=$A16)+($R$3:$R$200=$A16)+($S$3:$S$200=$A16)+($T$3:$T$200=$A16)+($U$3:$U$200=$A16)+($V$3:$V$200=$A16)+($W$3:$W$200=$A16)+($X$3:$X$200=$A16)+($Y$3:$Y$200=$A16)+($Z$3:$Z$200=$A16)+($AA$3:$AA$200=$A16))&gt;0)),$L$3:$L$200),"PENDIENTE"))</f>
        <v>PENDIENTE</v>
      </c>
      <c r="C16" s="17" t="str" cm="1">
        <f t="array" ref="C16">IF($A16="","",IFERROR(LOOKUP(2,1/(($K$3:$K$200="Programación")*((($M$3:$M$200=$A16)+($N$3:$N$200=$A16)+($O$3:$O$200=$A16)+($P$3:$P$200=$A16)+($Q$3:$Q$200=$A16)+($R$3:$R$200=$A16)+($S$3:$S$200=$A16)+($T$3:$T$200=$A16)+($U$3:$U$200=$A16)+($V$3:$V$200=$A16)+($W$3:$W$200=$A16)+($X$3:$X$200=$A16)+($Y$3:$Y$200=$A16)+($Z$3:$Z$200=$A16)+($AA$3:$AA$200=$A16))&gt;0)),$L$3:$L$200),"PENDIENTE"))</f>
        <v>PENDIENTE</v>
      </c>
      <c r="D16" s="17" t="str" cm="1">
        <f t="array" ref="D16">IF($A16="","",IFERROR(LOOKUP(2,1/(($K$3:$K$200="Prueba PCB")*((($M$3:$M$200=$A16)+($N$3:$N$200=$A16)+($O$3:$O$200=$A16)+($P$3:$P$200=$A16)+($Q$3:$Q$200=$A16)+($R$3:$R$200=$A16)+($S$3:$S$200=$A16)+($T$3:$T$200=$A16)+($U$3:$U$200=$A16)+($V$3:$V$200=$A16)+($W$3:$W$200=$A16)+($X$3:$X$200=$A16)+($Y$3:$Y$200=$A16)+($Z$3:$Z$200=$A16)+($AA$3:$AA$200=$A16))&gt;0)),$L$3:$L$200),"PENDIENTE"))</f>
        <v>PENDIENTE</v>
      </c>
      <c r="E16" s="17" t="str" cm="1">
        <f t="array" ref="E16">IF($A16="","",IFERROR(LOOKUP(2,1/(($K$3:$K$200="Integración")*((($M$3:$M$200=$A16)+($N$3:$N$200=$A16)+($O$3:$O$200=$A16)+($P$3:$P$200=$A16)+($Q$3:$Q$200=$A16)+($R$3:$R$200=$A16)+($S$3:$S$200=$A16)+($T$3:$T$200=$A16)+($U$3:$U$200=$A16)+($V$3:$V$200=$A16)+($W$3:$W$200=$A16)+($X$3:$X$200=$A16)+($Y$3:$Y$200=$A16)+($Z$3:$Z$200=$A16)+($AA$3:$AA$200=$A16))&gt;0)),$L$3:$L$200),"PENDIENTE"))</f>
        <v>PENDIENTE</v>
      </c>
      <c r="F16" s="17" t="str" cm="1">
        <f t="array" ref="F16">IF($A16="","",IFERROR(LOOKUP(2,1/(($K$3:$K$200="Prueba Final")*((($M$3:$M$200=$A16)+($N$3:$N$200=$A16)+($O$3:$O$200=$A16)+($P$3:$P$200=$A16)+($Q$3:$Q$200=$A16)+($R$3:$R$200=$A16)+($S$3:$S$200=$A16)+($T$3:$T$200=$A16)+($U$3:$U$200=$A16)+($V$3:$V$200=$A16)+($W$3:$W$200=$A16)+($X$3:$X$200=$A16)+($Y$3:$Y$200=$A16)+($Z$3:$Z$200=$A16)+($AA$3:$AA$200=$A16))&gt;0)),$L$3:$L$200),"PENDIENTE"))</f>
        <v>PENDIENTE</v>
      </c>
      <c r="G16" s="17" t="str">
        <f t="shared" si="0"/>
        <v>PENDIENTE</v>
      </c>
      <c r="H16" s="20"/>
      <c r="I16" s="20"/>
      <c r="J16" s="25"/>
      <c r="K16" s="26"/>
      <c r="L16" s="26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"/>
    </row>
    <row r="17" spans="1:28" ht="17.7" customHeight="1">
      <c r="A17" s="16" t="str">
        <f>IF(Producción!A17="","",Producción!A17)</f>
        <v>0027</v>
      </c>
      <c r="B17" s="17" t="str" cm="1">
        <f t="array" ref="B17">IF($A17="","",IFERROR(LOOKUP(2,1/(($K$3:$K$200="Soldadura")*((($M$3:$M$200=$A17)+($N$3:$N$200=$A17)+($O$3:$O$200=$A17)+($P$3:$P$200=$A17)+($Q$3:$Q$200=$A17)+($R$3:$R$200=$A17)+($S$3:$S$200=$A17)+($T$3:$T$200=$A17)+($U$3:$U$200=$A17)+($V$3:$V$200=$A17)+($W$3:$W$200=$A17)+($X$3:$X$200=$A17)+($Y$3:$Y$200=$A17)+($Z$3:$Z$200=$A17)+($AA$3:$AA$200=$A17))&gt;0)),$L$3:$L$200),"PENDIENTE"))</f>
        <v>PENDIENTE</v>
      </c>
      <c r="C17" s="17" t="str" cm="1">
        <f t="array" ref="C17">IF($A17="","",IFERROR(LOOKUP(2,1/(($K$3:$K$200="Programación")*((($M$3:$M$200=$A17)+($N$3:$N$200=$A17)+($O$3:$O$200=$A17)+($P$3:$P$200=$A17)+($Q$3:$Q$200=$A17)+($R$3:$R$200=$A17)+($S$3:$S$200=$A17)+($T$3:$T$200=$A17)+($U$3:$U$200=$A17)+($V$3:$V$200=$A17)+($W$3:$W$200=$A17)+($X$3:$X$200=$A17)+($Y$3:$Y$200=$A17)+($Z$3:$Z$200=$A17)+($AA$3:$AA$200=$A17))&gt;0)),$L$3:$L$200),"PENDIENTE"))</f>
        <v>PENDIENTE</v>
      </c>
      <c r="D17" s="17" t="str" cm="1">
        <f t="array" ref="D17">IF($A17="","",IFERROR(LOOKUP(2,1/(($K$3:$K$200="Prueba PCB")*((($M$3:$M$200=$A17)+($N$3:$N$200=$A17)+($O$3:$O$200=$A17)+($P$3:$P$200=$A17)+($Q$3:$Q$200=$A17)+($R$3:$R$200=$A17)+($S$3:$S$200=$A17)+($T$3:$T$200=$A17)+($U$3:$U$200=$A17)+($V$3:$V$200=$A17)+($W$3:$W$200=$A17)+($X$3:$X$200=$A17)+($Y$3:$Y$200=$A17)+($Z$3:$Z$200=$A17)+($AA$3:$AA$200=$A17))&gt;0)),$L$3:$L$200),"PENDIENTE"))</f>
        <v>PENDIENTE</v>
      </c>
      <c r="E17" s="17" t="str" cm="1">
        <f t="array" ref="E17">IF($A17="","",IFERROR(LOOKUP(2,1/(($K$3:$K$200="Integración")*((($M$3:$M$200=$A17)+($N$3:$N$200=$A17)+($O$3:$O$200=$A17)+($P$3:$P$200=$A17)+($Q$3:$Q$200=$A17)+($R$3:$R$200=$A17)+($S$3:$S$200=$A17)+($T$3:$T$200=$A17)+($U$3:$U$200=$A17)+($V$3:$V$200=$A17)+($W$3:$W$200=$A17)+($X$3:$X$200=$A17)+($Y$3:$Y$200=$A17)+($Z$3:$Z$200=$A17)+($AA$3:$AA$200=$A17))&gt;0)),$L$3:$L$200),"PENDIENTE"))</f>
        <v>PENDIENTE</v>
      </c>
      <c r="F17" s="17" t="str" cm="1">
        <f t="array" ref="F17">IF($A17="","",IFERROR(LOOKUP(2,1/(($K$3:$K$200="Prueba Final")*((($M$3:$M$200=$A17)+($N$3:$N$200=$A17)+($O$3:$O$200=$A17)+($P$3:$P$200=$A17)+($Q$3:$Q$200=$A17)+($R$3:$R$200=$A17)+($S$3:$S$200=$A17)+($T$3:$T$200=$A17)+($U$3:$U$200=$A17)+($V$3:$V$200=$A17)+($W$3:$W$200=$A17)+($X$3:$X$200=$A17)+($Y$3:$Y$200=$A17)+($Z$3:$Z$200=$A17)+($AA$3:$AA$200=$A17))&gt;0)),$L$3:$L$200),"PENDIENTE"))</f>
        <v>PENDIENTE</v>
      </c>
      <c r="G17" s="17" t="str">
        <f t="shared" si="0"/>
        <v>PENDIENTE</v>
      </c>
      <c r="H17" s="20"/>
      <c r="I17" s="20"/>
      <c r="J17" s="25"/>
      <c r="K17" s="26"/>
      <c r="L17" s="26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"/>
    </row>
    <row r="18" spans="1:28" ht="17.7" customHeight="1">
      <c r="A18" s="16" t="str">
        <f>IF(Producción!A18="","",Producción!A18)</f>
        <v>0028</v>
      </c>
      <c r="B18" s="17" t="str" cm="1">
        <f t="array" ref="B18">IF($A18="","",IFERROR(LOOKUP(2,1/(($K$3:$K$200="Soldadura")*((($M$3:$M$200=$A18)+($N$3:$N$200=$A18)+($O$3:$O$200=$A18)+($P$3:$P$200=$A18)+($Q$3:$Q$200=$A18)+($R$3:$R$200=$A18)+($S$3:$S$200=$A18)+($T$3:$T$200=$A18)+($U$3:$U$200=$A18)+($V$3:$V$200=$A18)+($W$3:$W$200=$A18)+($X$3:$X$200=$A18)+($Y$3:$Y$200=$A18)+($Z$3:$Z$200=$A18)+($AA$3:$AA$200=$A18))&gt;0)),$L$3:$L$200),"PENDIENTE"))</f>
        <v>PENDIENTE</v>
      </c>
      <c r="C18" s="17" t="str" cm="1">
        <f t="array" ref="C18">IF($A18="","",IFERROR(LOOKUP(2,1/(($K$3:$K$200="Programación")*((($M$3:$M$200=$A18)+($N$3:$N$200=$A18)+($O$3:$O$200=$A18)+($P$3:$P$200=$A18)+($Q$3:$Q$200=$A18)+($R$3:$R$200=$A18)+($S$3:$S$200=$A18)+($T$3:$T$200=$A18)+($U$3:$U$200=$A18)+($V$3:$V$200=$A18)+($W$3:$W$200=$A18)+($X$3:$X$200=$A18)+($Y$3:$Y$200=$A18)+($Z$3:$Z$200=$A18)+($AA$3:$AA$200=$A18))&gt;0)),$L$3:$L$200),"PENDIENTE"))</f>
        <v>PENDIENTE</v>
      </c>
      <c r="D18" s="17" t="str" cm="1">
        <f t="array" ref="D18">IF($A18="","",IFERROR(LOOKUP(2,1/(($K$3:$K$200="Prueba PCB")*((($M$3:$M$200=$A18)+($N$3:$N$200=$A18)+($O$3:$O$200=$A18)+($P$3:$P$200=$A18)+($Q$3:$Q$200=$A18)+($R$3:$R$200=$A18)+($S$3:$S$200=$A18)+($T$3:$T$200=$A18)+($U$3:$U$200=$A18)+($V$3:$V$200=$A18)+($W$3:$W$200=$A18)+($X$3:$X$200=$A18)+($Y$3:$Y$200=$A18)+($Z$3:$Z$200=$A18)+($AA$3:$AA$200=$A18))&gt;0)),$L$3:$L$200),"PENDIENTE"))</f>
        <v>PENDIENTE</v>
      </c>
      <c r="E18" s="17" t="str" cm="1">
        <f t="array" ref="E18">IF($A18="","",IFERROR(LOOKUP(2,1/(($K$3:$K$200="Integración")*((($M$3:$M$200=$A18)+($N$3:$N$200=$A18)+($O$3:$O$200=$A18)+($P$3:$P$200=$A18)+($Q$3:$Q$200=$A18)+($R$3:$R$200=$A18)+($S$3:$S$200=$A18)+($T$3:$T$200=$A18)+($U$3:$U$200=$A18)+($V$3:$V$200=$A18)+($W$3:$W$200=$A18)+($X$3:$X$200=$A18)+($Y$3:$Y$200=$A18)+($Z$3:$Z$200=$A18)+($AA$3:$AA$200=$A18))&gt;0)),$L$3:$L$200),"PENDIENTE"))</f>
        <v>PENDIENTE</v>
      </c>
      <c r="F18" s="17" t="str" cm="1">
        <f t="array" ref="F18">IF($A18="","",IFERROR(LOOKUP(2,1/(($K$3:$K$200="Prueba Final")*((($M$3:$M$200=$A18)+($N$3:$N$200=$A18)+($O$3:$O$200=$A18)+($P$3:$P$200=$A18)+($Q$3:$Q$200=$A18)+($R$3:$R$200=$A18)+($S$3:$S$200=$A18)+($T$3:$T$200=$A18)+($U$3:$U$200=$A18)+($V$3:$V$200=$A18)+($W$3:$W$200=$A18)+($X$3:$X$200=$A18)+($Y$3:$Y$200=$A18)+($Z$3:$Z$200=$A18)+($AA$3:$AA$200=$A18))&gt;0)),$L$3:$L$200),"PENDIENTE"))</f>
        <v>PENDIENTE</v>
      </c>
      <c r="G18" s="17" t="str">
        <f t="shared" si="0"/>
        <v>PENDIENTE</v>
      </c>
      <c r="H18" s="20"/>
      <c r="I18" s="20"/>
      <c r="J18" s="25"/>
      <c r="K18" s="26"/>
      <c r="L18" s="26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"/>
    </row>
    <row r="19" spans="1:28" ht="17.7" customHeight="1">
      <c r="A19" s="16" t="str">
        <f>IF(Producción!A19="","",Producción!A19)</f>
        <v>0029</v>
      </c>
      <c r="B19" s="17" t="str" cm="1">
        <f t="array" ref="B19">IF($A19="","",IFERROR(LOOKUP(2,1/(($K$3:$K$200="Soldadura")*((($M$3:$M$200=$A19)+($N$3:$N$200=$A19)+($O$3:$O$200=$A19)+($P$3:$P$200=$A19)+($Q$3:$Q$200=$A19)+($R$3:$R$200=$A19)+($S$3:$S$200=$A19)+($T$3:$T$200=$A19)+($U$3:$U$200=$A19)+($V$3:$V$200=$A19)+($W$3:$W$200=$A19)+($X$3:$X$200=$A19)+($Y$3:$Y$200=$A19)+($Z$3:$Z$200=$A19)+($AA$3:$AA$200=$A19))&gt;0)),$L$3:$L$200),"PENDIENTE"))</f>
        <v>PENDIENTE</v>
      </c>
      <c r="C19" s="17" t="str" cm="1">
        <f t="array" ref="C19">IF($A19="","",IFERROR(LOOKUP(2,1/(($K$3:$K$200="Programación")*((($M$3:$M$200=$A19)+($N$3:$N$200=$A19)+($O$3:$O$200=$A19)+($P$3:$P$200=$A19)+($Q$3:$Q$200=$A19)+($R$3:$R$200=$A19)+($S$3:$S$200=$A19)+($T$3:$T$200=$A19)+($U$3:$U$200=$A19)+($V$3:$V$200=$A19)+($W$3:$W$200=$A19)+($X$3:$X$200=$A19)+($Y$3:$Y$200=$A19)+($Z$3:$Z$200=$A19)+($AA$3:$AA$200=$A19))&gt;0)),$L$3:$L$200),"PENDIENTE"))</f>
        <v>PENDIENTE</v>
      </c>
      <c r="D19" s="17" t="str" cm="1">
        <f t="array" ref="D19">IF($A19="","",IFERROR(LOOKUP(2,1/(($K$3:$K$200="Prueba PCB")*((($M$3:$M$200=$A19)+($N$3:$N$200=$A19)+($O$3:$O$200=$A19)+($P$3:$P$200=$A19)+($Q$3:$Q$200=$A19)+($R$3:$R$200=$A19)+($S$3:$S$200=$A19)+($T$3:$T$200=$A19)+($U$3:$U$200=$A19)+($V$3:$V$200=$A19)+($W$3:$W$200=$A19)+($X$3:$X$200=$A19)+($Y$3:$Y$200=$A19)+($Z$3:$Z$200=$A19)+($AA$3:$AA$200=$A19))&gt;0)),$L$3:$L$200),"PENDIENTE"))</f>
        <v>PENDIENTE</v>
      </c>
      <c r="E19" s="17" t="str" cm="1">
        <f t="array" ref="E19">IF($A19="","",IFERROR(LOOKUP(2,1/(($K$3:$K$200="Integración")*((($M$3:$M$200=$A19)+($N$3:$N$200=$A19)+($O$3:$O$200=$A19)+($P$3:$P$200=$A19)+($Q$3:$Q$200=$A19)+($R$3:$R$200=$A19)+($S$3:$S$200=$A19)+($T$3:$T$200=$A19)+($U$3:$U$200=$A19)+($V$3:$V$200=$A19)+($W$3:$W$200=$A19)+($X$3:$X$200=$A19)+($Y$3:$Y$200=$A19)+($Z$3:$Z$200=$A19)+($AA$3:$AA$200=$A19))&gt;0)),$L$3:$L$200),"PENDIENTE"))</f>
        <v>PENDIENTE</v>
      </c>
      <c r="F19" s="17" t="str" cm="1">
        <f t="array" ref="F19">IF($A19="","",IFERROR(LOOKUP(2,1/(($K$3:$K$200="Prueba Final")*((($M$3:$M$200=$A19)+($N$3:$N$200=$A19)+($O$3:$O$200=$A19)+($P$3:$P$200=$A19)+($Q$3:$Q$200=$A19)+($R$3:$R$200=$A19)+($S$3:$S$200=$A19)+($T$3:$T$200=$A19)+($U$3:$U$200=$A19)+($V$3:$V$200=$A19)+($W$3:$W$200=$A19)+($X$3:$X$200=$A19)+($Y$3:$Y$200=$A19)+($Z$3:$Z$200=$A19)+($AA$3:$AA$200=$A19))&gt;0)),$L$3:$L$200),"PENDIENTE"))</f>
        <v>PENDIENTE</v>
      </c>
      <c r="G19" s="17" t="str">
        <f t="shared" si="0"/>
        <v>PENDIENTE</v>
      </c>
      <c r="H19" s="20"/>
      <c r="I19" s="20"/>
      <c r="J19" s="25"/>
      <c r="K19" s="26"/>
      <c r="L19" s="26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"/>
    </row>
    <row r="20" spans="1:28" ht="17.7" customHeight="1">
      <c r="A20" s="16" t="str">
        <f>IF(Producción!A20="","",Producción!A20)</f>
        <v>0030</v>
      </c>
      <c r="B20" s="17" t="str" cm="1">
        <f t="array" ref="B20">IF($A20="","",IFERROR(LOOKUP(2,1/(($K$3:$K$200="Soldadura")*((($M$3:$M$200=$A20)+($N$3:$N$200=$A20)+($O$3:$O$200=$A20)+($P$3:$P$200=$A20)+($Q$3:$Q$200=$A20)+($R$3:$R$200=$A20)+($S$3:$S$200=$A20)+($T$3:$T$200=$A20)+($U$3:$U$200=$A20)+($V$3:$V$200=$A20)+($W$3:$W$200=$A20)+($X$3:$X$200=$A20)+($Y$3:$Y$200=$A20)+($Z$3:$Z$200=$A20)+($AA$3:$AA$200=$A20))&gt;0)),$L$3:$L$200),"PENDIENTE"))</f>
        <v>PENDIENTE</v>
      </c>
      <c r="C20" s="17" t="str" cm="1">
        <f t="array" ref="C20">IF($A20="","",IFERROR(LOOKUP(2,1/(($K$3:$K$200="Programación")*((($M$3:$M$200=$A20)+($N$3:$N$200=$A20)+($O$3:$O$200=$A20)+($P$3:$P$200=$A20)+($Q$3:$Q$200=$A20)+($R$3:$R$200=$A20)+($S$3:$S$200=$A20)+($T$3:$T$200=$A20)+($U$3:$U$200=$A20)+($V$3:$V$200=$A20)+($W$3:$W$200=$A20)+($X$3:$X$200=$A20)+($Y$3:$Y$200=$A20)+($Z$3:$Z$200=$A20)+($AA$3:$AA$200=$A20))&gt;0)),$L$3:$L$200),"PENDIENTE"))</f>
        <v>PENDIENTE</v>
      </c>
      <c r="D20" s="17" t="str" cm="1">
        <f t="array" ref="D20">IF($A20="","",IFERROR(LOOKUP(2,1/(($K$3:$K$200="Prueba PCB")*((($M$3:$M$200=$A20)+($N$3:$N$200=$A20)+($O$3:$O$200=$A20)+($P$3:$P$200=$A20)+($Q$3:$Q$200=$A20)+($R$3:$R$200=$A20)+($S$3:$S$200=$A20)+($T$3:$T$200=$A20)+($U$3:$U$200=$A20)+($V$3:$V$200=$A20)+($W$3:$W$200=$A20)+($X$3:$X$200=$A20)+($Y$3:$Y$200=$A20)+($Z$3:$Z$200=$A20)+($AA$3:$AA$200=$A20))&gt;0)),$L$3:$L$200),"PENDIENTE"))</f>
        <v>PENDIENTE</v>
      </c>
      <c r="E20" s="17" t="str" cm="1">
        <f t="array" ref="E20">IF($A20="","",IFERROR(LOOKUP(2,1/(($K$3:$K$200="Integración")*((($M$3:$M$200=$A20)+($N$3:$N$200=$A20)+($O$3:$O$200=$A20)+($P$3:$P$200=$A20)+($Q$3:$Q$200=$A20)+($R$3:$R$200=$A20)+($S$3:$S$200=$A20)+($T$3:$T$200=$A20)+($U$3:$U$200=$A20)+($V$3:$V$200=$A20)+($W$3:$W$200=$A20)+($X$3:$X$200=$A20)+($Y$3:$Y$200=$A20)+($Z$3:$Z$200=$A20)+($AA$3:$AA$200=$A20))&gt;0)),$L$3:$L$200),"PENDIENTE"))</f>
        <v>PENDIENTE</v>
      </c>
      <c r="F20" s="17" t="str" cm="1">
        <f t="array" ref="F20">IF($A20="","",IFERROR(LOOKUP(2,1/(($K$3:$K$200="Prueba Final")*((($M$3:$M$200=$A20)+($N$3:$N$200=$A20)+($O$3:$O$200=$A20)+($P$3:$P$200=$A20)+($Q$3:$Q$200=$A20)+($R$3:$R$200=$A20)+($S$3:$S$200=$A20)+($T$3:$T$200=$A20)+($U$3:$U$200=$A20)+($V$3:$V$200=$A20)+($W$3:$W$200=$A20)+($X$3:$X$200=$A20)+($Y$3:$Y$200=$A20)+($Z$3:$Z$200=$A20)+($AA$3:$AA$200=$A20))&gt;0)),$L$3:$L$200),"PENDIENTE"))</f>
        <v>PENDIENTE</v>
      </c>
      <c r="G20" s="17" t="str">
        <f t="shared" si="0"/>
        <v>PENDIENTE</v>
      </c>
      <c r="H20" s="20"/>
      <c r="I20" s="20"/>
      <c r="J20" s="25"/>
      <c r="K20" s="26"/>
      <c r="L20" s="26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"/>
    </row>
    <row r="21" spans="1:28" ht="17.7" customHeight="1">
      <c r="A21" s="16" t="str">
        <f>IF(Producción!A21="","",Producción!A21)</f>
        <v>0031</v>
      </c>
      <c r="B21" s="17" t="str" cm="1">
        <f t="array" ref="B21">IF($A21="","",IFERROR(LOOKUP(2,1/(($K$3:$K$200="Soldadura")*((($M$3:$M$200=$A21)+($N$3:$N$200=$A21)+($O$3:$O$200=$A21)+($P$3:$P$200=$A21)+($Q$3:$Q$200=$A21)+($R$3:$R$200=$A21)+($S$3:$S$200=$A21)+($T$3:$T$200=$A21)+($U$3:$U$200=$A21)+($V$3:$V$200=$A21)+($W$3:$W$200=$A21)+($X$3:$X$200=$A21)+($Y$3:$Y$200=$A21)+($Z$3:$Z$200=$A21)+($AA$3:$AA$200=$A21))&gt;0)),$L$3:$L$200),"PENDIENTE"))</f>
        <v>PENDIENTE</v>
      </c>
      <c r="C21" s="17" t="str" cm="1">
        <f t="array" ref="C21">IF($A21="","",IFERROR(LOOKUP(2,1/(($K$3:$K$200="Programación")*((($M$3:$M$200=$A21)+($N$3:$N$200=$A21)+($O$3:$O$200=$A21)+($P$3:$P$200=$A21)+($Q$3:$Q$200=$A21)+($R$3:$R$200=$A21)+($S$3:$S$200=$A21)+($T$3:$T$200=$A21)+($U$3:$U$200=$A21)+($V$3:$V$200=$A21)+($W$3:$W$200=$A21)+($X$3:$X$200=$A21)+($Y$3:$Y$200=$A21)+($Z$3:$Z$200=$A21)+($AA$3:$AA$200=$A21))&gt;0)),$L$3:$L$200),"PENDIENTE"))</f>
        <v>PENDIENTE</v>
      </c>
      <c r="D21" s="17" t="str" cm="1">
        <f t="array" ref="D21">IF($A21="","",IFERROR(LOOKUP(2,1/(($K$3:$K$200="Prueba PCB")*((($M$3:$M$200=$A21)+($N$3:$N$200=$A21)+($O$3:$O$200=$A21)+($P$3:$P$200=$A21)+($Q$3:$Q$200=$A21)+($R$3:$R$200=$A21)+($S$3:$S$200=$A21)+($T$3:$T$200=$A21)+($U$3:$U$200=$A21)+($V$3:$V$200=$A21)+($W$3:$W$200=$A21)+($X$3:$X$200=$A21)+($Y$3:$Y$200=$A21)+($Z$3:$Z$200=$A21)+($AA$3:$AA$200=$A21))&gt;0)),$L$3:$L$200),"PENDIENTE"))</f>
        <v>PENDIENTE</v>
      </c>
      <c r="E21" s="17" t="str" cm="1">
        <f t="array" ref="E21">IF($A21="","",IFERROR(LOOKUP(2,1/(($K$3:$K$200="Integración")*((($M$3:$M$200=$A21)+($N$3:$N$200=$A21)+($O$3:$O$200=$A21)+($P$3:$P$200=$A21)+($Q$3:$Q$200=$A21)+($R$3:$R$200=$A21)+($S$3:$S$200=$A21)+($T$3:$T$200=$A21)+($U$3:$U$200=$A21)+($V$3:$V$200=$A21)+($W$3:$W$200=$A21)+($X$3:$X$200=$A21)+($Y$3:$Y$200=$A21)+($Z$3:$Z$200=$A21)+($AA$3:$AA$200=$A21))&gt;0)),$L$3:$L$200),"PENDIENTE"))</f>
        <v>PENDIENTE</v>
      </c>
      <c r="F21" s="17" t="str" cm="1">
        <f t="array" ref="F21">IF($A21="","",IFERROR(LOOKUP(2,1/(($K$3:$K$200="Prueba Final")*((($M$3:$M$200=$A21)+($N$3:$N$200=$A21)+($O$3:$O$200=$A21)+($P$3:$P$200=$A21)+($Q$3:$Q$200=$A21)+($R$3:$R$200=$A21)+($S$3:$S$200=$A21)+($T$3:$T$200=$A21)+($U$3:$U$200=$A21)+($V$3:$V$200=$A21)+($W$3:$W$200=$A21)+($X$3:$X$200=$A21)+($Y$3:$Y$200=$A21)+($Z$3:$Z$200=$A21)+($AA$3:$AA$200=$A21))&gt;0)),$L$3:$L$200),"PENDIENTE"))</f>
        <v>PENDIENTE</v>
      </c>
      <c r="G21" s="17" t="str">
        <f t="shared" si="0"/>
        <v>PENDIENTE</v>
      </c>
      <c r="H21" s="20"/>
      <c r="I21" s="20"/>
      <c r="J21" s="25"/>
      <c r="K21" s="26"/>
      <c r="L21" s="26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"/>
    </row>
    <row r="22" spans="1:28" ht="17.7" customHeight="1">
      <c r="A22" s="16" t="str">
        <f>IF(Producción!A22="","",Producción!A22)</f>
        <v>0032</v>
      </c>
      <c r="B22" s="17" t="str" cm="1">
        <f t="array" ref="B22">IF($A22="","",IFERROR(LOOKUP(2,1/(($K$3:$K$200="Soldadura")*((($M$3:$M$200=$A22)+($N$3:$N$200=$A22)+($O$3:$O$200=$A22)+($P$3:$P$200=$A22)+($Q$3:$Q$200=$A22)+($R$3:$R$200=$A22)+($S$3:$S$200=$A22)+($T$3:$T$200=$A22)+($U$3:$U$200=$A22)+($V$3:$V$200=$A22)+($W$3:$W$200=$A22)+($X$3:$X$200=$A22)+($Y$3:$Y$200=$A22)+($Z$3:$Z$200=$A22)+($AA$3:$AA$200=$A22))&gt;0)),$L$3:$L$200),"PENDIENTE"))</f>
        <v>PENDIENTE</v>
      </c>
      <c r="C22" s="17" t="str" cm="1">
        <f t="array" ref="C22">IF($A22="","",IFERROR(LOOKUP(2,1/(($K$3:$K$200="Programación")*((($M$3:$M$200=$A22)+($N$3:$N$200=$A22)+($O$3:$O$200=$A22)+($P$3:$P$200=$A22)+($Q$3:$Q$200=$A22)+($R$3:$R$200=$A22)+($S$3:$S$200=$A22)+($T$3:$T$200=$A22)+($U$3:$U$200=$A22)+($V$3:$V$200=$A22)+($W$3:$W$200=$A22)+($X$3:$X$200=$A22)+($Y$3:$Y$200=$A22)+($Z$3:$Z$200=$A22)+($AA$3:$AA$200=$A22))&gt;0)),$L$3:$L$200),"PENDIENTE"))</f>
        <v>PENDIENTE</v>
      </c>
      <c r="D22" s="17" t="str" cm="1">
        <f t="array" ref="D22">IF($A22="","",IFERROR(LOOKUP(2,1/(($K$3:$K$200="Prueba PCB")*((($M$3:$M$200=$A22)+($N$3:$N$200=$A22)+($O$3:$O$200=$A22)+($P$3:$P$200=$A22)+($Q$3:$Q$200=$A22)+($R$3:$R$200=$A22)+($S$3:$S$200=$A22)+($T$3:$T$200=$A22)+($U$3:$U$200=$A22)+($V$3:$V$200=$A22)+($W$3:$W$200=$A22)+($X$3:$X$200=$A22)+($Y$3:$Y$200=$A22)+($Z$3:$Z$200=$A22)+($AA$3:$AA$200=$A22))&gt;0)),$L$3:$L$200),"PENDIENTE"))</f>
        <v>PENDIENTE</v>
      </c>
      <c r="E22" s="17" t="str" cm="1">
        <f t="array" ref="E22">IF($A22="","",IFERROR(LOOKUP(2,1/(($K$3:$K$200="Integración")*((($M$3:$M$200=$A22)+($N$3:$N$200=$A22)+($O$3:$O$200=$A22)+($P$3:$P$200=$A22)+($Q$3:$Q$200=$A22)+($R$3:$R$200=$A22)+($S$3:$S$200=$A22)+($T$3:$T$200=$A22)+($U$3:$U$200=$A22)+($V$3:$V$200=$A22)+($W$3:$W$200=$A22)+($X$3:$X$200=$A22)+($Y$3:$Y$200=$A22)+($Z$3:$Z$200=$A22)+($AA$3:$AA$200=$A22))&gt;0)),$L$3:$L$200),"PENDIENTE"))</f>
        <v>PENDIENTE</v>
      </c>
      <c r="F22" s="17" t="str" cm="1">
        <f t="array" ref="F22">IF($A22="","",IFERROR(LOOKUP(2,1/(($K$3:$K$200="Prueba Final")*((($M$3:$M$200=$A22)+($N$3:$N$200=$A22)+($O$3:$O$200=$A22)+($P$3:$P$200=$A22)+($Q$3:$Q$200=$A22)+($R$3:$R$200=$A22)+($S$3:$S$200=$A22)+($T$3:$T$200=$A22)+($U$3:$U$200=$A22)+($V$3:$V$200=$A22)+($W$3:$W$200=$A22)+($X$3:$X$200=$A22)+($Y$3:$Y$200=$A22)+($Z$3:$Z$200=$A22)+($AA$3:$AA$200=$A22))&gt;0)),$L$3:$L$200),"PENDIENTE"))</f>
        <v>PENDIENTE</v>
      </c>
      <c r="G22" s="17" t="str">
        <f t="shared" si="0"/>
        <v>PENDIENTE</v>
      </c>
      <c r="H22" s="20"/>
      <c r="I22" s="20"/>
      <c r="J22" s="25"/>
      <c r="K22" s="26"/>
      <c r="L22" s="26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"/>
    </row>
    <row r="23" spans="1:28" ht="17.7" customHeight="1">
      <c r="A23" s="16" t="str">
        <f>IF(Producción!A23="","",Producción!A23)</f>
        <v>0033</v>
      </c>
      <c r="B23" s="17" t="str" cm="1">
        <f t="array" ref="B23">IF($A23="","",IFERROR(LOOKUP(2,1/(($K$3:$K$200="Soldadura")*((($M$3:$M$200=$A23)+($N$3:$N$200=$A23)+($O$3:$O$200=$A23)+($P$3:$P$200=$A23)+($Q$3:$Q$200=$A23)+($R$3:$R$200=$A23)+($S$3:$S$200=$A23)+($T$3:$T$200=$A23)+($U$3:$U$200=$A23)+($V$3:$V$200=$A23)+($W$3:$W$200=$A23)+($X$3:$X$200=$A23)+($Y$3:$Y$200=$A23)+($Z$3:$Z$200=$A23)+($AA$3:$AA$200=$A23))&gt;0)),$L$3:$L$200),"PENDIENTE"))</f>
        <v>PENDIENTE</v>
      </c>
      <c r="C23" s="17" t="str" cm="1">
        <f t="array" ref="C23">IF($A23="","",IFERROR(LOOKUP(2,1/(($K$3:$K$200="Programación")*((($M$3:$M$200=$A23)+($N$3:$N$200=$A23)+($O$3:$O$200=$A23)+($P$3:$P$200=$A23)+($Q$3:$Q$200=$A23)+($R$3:$R$200=$A23)+($S$3:$S$200=$A23)+($T$3:$T$200=$A23)+($U$3:$U$200=$A23)+($V$3:$V$200=$A23)+($W$3:$W$200=$A23)+($X$3:$X$200=$A23)+($Y$3:$Y$200=$A23)+($Z$3:$Z$200=$A23)+($AA$3:$AA$200=$A23))&gt;0)),$L$3:$L$200),"PENDIENTE"))</f>
        <v>PENDIENTE</v>
      </c>
      <c r="D23" s="17" t="str" cm="1">
        <f t="array" ref="D23">IF($A23="","",IFERROR(LOOKUP(2,1/(($K$3:$K$200="Prueba PCB")*((($M$3:$M$200=$A23)+($N$3:$N$200=$A23)+($O$3:$O$200=$A23)+($P$3:$P$200=$A23)+($Q$3:$Q$200=$A23)+($R$3:$R$200=$A23)+($S$3:$S$200=$A23)+($T$3:$T$200=$A23)+($U$3:$U$200=$A23)+($V$3:$V$200=$A23)+($W$3:$W$200=$A23)+($X$3:$X$200=$A23)+($Y$3:$Y$200=$A23)+($Z$3:$Z$200=$A23)+($AA$3:$AA$200=$A23))&gt;0)),$L$3:$L$200),"PENDIENTE"))</f>
        <v>PENDIENTE</v>
      </c>
      <c r="E23" s="17" t="str" cm="1">
        <f t="array" ref="E23">IF($A23="","",IFERROR(LOOKUP(2,1/(($K$3:$K$200="Integración")*((($M$3:$M$200=$A23)+($N$3:$N$200=$A23)+($O$3:$O$200=$A23)+($P$3:$P$200=$A23)+($Q$3:$Q$200=$A23)+($R$3:$R$200=$A23)+($S$3:$S$200=$A23)+($T$3:$T$200=$A23)+($U$3:$U$200=$A23)+($V$3:$V$200=$A23)+($W$3:$W$200=$A23)+($X$3:$X$200=$A23)+($Y$3:$Y$200=$A23)+($Z$3:$Z$200=$A23)+($AA$3:$AA$200=$A23))&gt;0)),$L$3:$L$200),"PENDIENTE"))</f>
        <v>PENDIENTE</v>
      </c>
      <c r="F23" s="17" t="str" cm="1">
        <f t="array" ref="F23">IF($A23="","",IFERROR(LOOKUP(2,1/(($K$3:$K$200="Prueba Final")*((($M$3:$M$200=$A23)+($N$3:$N$200=$A23)+($O$3:$O$200=$A23)+($P$3:$P$200=$A23)+($Q$3:$Q$200=$A23)+($R$3:$R$200=$A23)+($S$3:$S$200=$A23)+($T$3:$T$200=$A23)+($U$3:$U$200=$A23)+($V$3:$V$200=$A23)+($W$3:$W$200=$A23)+($X$3:$X$200=$A23)+($Y$3:$Y$200=$A23)+($Z$3:$Z$200=$A23)+($AA$3:$AA$200=$A23))&gt;0)),$L$3:$L$200),"PENDIENTE"))</f>
        <v>PENDIENTE</v>
      </c>
      <c r="G23" s="17" t="str">
        <f t="shared" si="0"/>
        <v>PENDIENTE</v>
      </c>
      <c r="H23" s="20"/>
      <c r="I23" s="20"/>
      <c r="J23" s="25"/>
      <c r="K23" s="26"/>
      <c r="L23" s="26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"/>
    </row>
    <row r="24" spans="1:28" ht="17.7" customHeight="1">
      <c r="A24" s="16" t="str">
        <f>IF(Producción!A24="","",Producción!A24)</f>
        <v>0034</v>
      </c>
      <c r="B24" s="17" t="str" cm="1">
        <f t="array" ref="B24">IF($A24="","",IFERROR(LOOKUP(2,1/(($K$3:$K$200="Soldadura")*((($M$3:$M$200=$A24)+($N$3:$N$200=$A24)+($O$3:$O$200=$A24)+($P$3:$P$200=$A24)+($Q$3:$Q$200=$A24)+($R$3:$R$200=$A24)+($S$3:$S$200=$A24)+($T$3:$T$200=$A24)+($U$3:$U$200=$A24)+($V$3:$V$200=$A24)+($W$3:$W$200=$A24)+($X$3:$X$200=$A24)+($Y$3:$Y$200=$A24)+($Z$3:$Z$200=$A24)+($AA$3:$AA$200=$A24))&gt;0)),$L$3:$L$200),"PENDIENTE"))</f>
        <v>PENDIENTE</v>
      </c>
      <c r="C24" s="17" t="str" cm="1">
        <f t="array" ref="C24">IF($A24="","",IFERROR(LOOKUP(2,1/(($K$3:$K$200="Programación")*((($M$3:$M$200=$A24)+($N$3:$N$200=$A24)+($O$3:$O$200=$A24)+($P$3:$P$200=$A24)+($Q$3:$Q$200=$A24)+($R$3:$R$200=$A24)+($S$3:$S$200=$A24)+($T$3:$T$200=$A24)+($U$3:$U$200=$A24)+($V$3:$V$200=$A24)+($W$3:$W$200=$A24)+($X$3:$X$200=$A24)+($Y$3:$Y$200=$A24)+($Z$3:$Z$200=$A24)+($AA$3:$AA$200=$A24))&gt;0)),$L$3:$L$200),"PENDIENTE"))</f>
        <v>PENDIENTE</v>
      </c>
      <c r="D24" s="17" t="str" cm="1">
        <f t="array" ref="D24">IF($A24="","",IFERROR(LOOKUP(2,1/(($K$3:$K$200="Prueba PCB")*((($M$3:$M$200=$A24)+($N$3:$N$200=$A24)+($O$3:$O$200=$A24)+($P$3:$P$200=$A24)+($Q$3:$Q$200=$A24)+($R$3:$R$200=$A24)+($S$3:$S$200=$A24)+($T$3:$T$200=$A24)+($U$3:$U$200=$A24)+($V$3:$V$200=$A24)+($W$3:$W$200=$A24)+($X$3:$X$200=$A24)+($Y$3:$Y$200=$A24)+($Z$3:$Z$200=$A24)+($AA$3:$AA$200=$A24))&gt;0)),$L$3:$L$200),"PENDIENTE"))</f>
        <v>PENDIENTE</v>
      </c>
      <c r="E24" s="17" t="str" cm="1">
        <f t="array" ref="E24">IF($A24="","",IFERROR(LOOKUP(2,1/(($K$3:$K$200="Integración")*((($M$3:$M$200=$A24)+($N$3:$N$200=$A24)+($O$3:$O$200=$A24)+($P$3:$P$200=$A24)+($Q$3:$Q$200=$A24)+($R$3:$R$200=$A24)+($S$3:$S$200=$A24)+($T$3:$T$200=$A24)+($U$3:$U$200=$A24)+($V$3:$V$200=$A24)+($W$3:$W$200=$A24)+($X$3:$X$200=$A24)+($Y$3:$Y$200=$A24)+($Z$3:$Z$200=$A24)+($AA$3:$AA$200=$A24))&gt;0)),$L$3:$L$200),"PENDIENTE"))</f>
        <v>PENDIENTE</v>
      </c>
      <c r="F24" s="17" t="str" cm="1">
        <f t="array" ref="F24">IF($A24="","",IFERROR(LOOKUP(2,1/(($K$3:$K$200="Prueba Final")*((($M$3:$M$200=$A24)+($N$3:$N$200=$A24)+($O$3:$O$200=$A24)+($P$3:$P$200=$A24)+($Q$3:$Q$200=$A24)+($R$3:$R$200=$A24)+($S$3:$S$200=$A24)+($T$3:$T$200=$A24)+($U$3:$U$200=$A24)+($V$3:$V$200=$A24)+($W$3:$W$200=$A24)+($X$3:$X$200=$A24)+($Y$3:$Y$200=$A24)+($Z$3:$Z$200=$A24)+($AA$3:$AA$200=$A24))&gt;0)),$L$3:$L$200),"PENDIENTE"))</f>
        <v>PENDIENTE</v>
      </c>
      <c r="G24" s="17" t="str">
        <f t="shared" si="0"/>
        <v>PENDIENTE</v>
      </c>
      <c r="H24" s="20"/>
      <c r="I24" s="20"/>
      <c r="J24" s="25"/>
      <c r="K24" s="26"/>
      <c r="L24" s="26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"/>
    </row>
    <row r="25" spans="1:28" ht="17.7" customHeight="1">
      <c r="A25" s="16" t="str">
        <f>IF(Producción!A25="","",Producción!A25)</f>
        <v>0035</v>
      </c>
      <c r="B25" s="17" t="str" cm="1">
        <f t="array" ref="B25">IF($A25="","",IFERROR(LOOKUP(2,1/(($K$3:$K$200="Soldadura")*((($M$3:$M$200=$A25)+($N$3:$N$200=$A25)+($O$3:$O$200=$A25)+($P$3:$P$200=$A25)+($Q$3:$Q$200=$A25)+($R$3:$R$200=$A25)+($S$3:$S$200=$A25)+($T$3:$T$200=$A25)+($U$3:$U$200=$A25)+($V$3:$V$200=$A25)+($W$3:$W$200=$A25)+($X$3:$X$200=$A25)+($Y$3:$Y$200=$A25)+($Z$3:$Z$200=$A25)+($AA$3:$AA$200=$A25))&gt;0)),$L$3:$L$200),"PENDIENTE"))</f>
        <v>PENDIENTE</v>
      </c>
      <c r="C25" s="17" t="str" cm="1">
        <f t="array" ref="C25">IF($A25="","",IFERROR(LOOKUP(2,1/(($K$3:$K$200="Programación")*((($M$3:$M$200=$A25)+($N$3:$N$200=$A25)+($O$3:$O$200=$A25)+($P$3:$P$200=$A25)+($Q$3:$Q$200=$A25)+($R$3:$R$200=$A25)+($S$3:$S$200=$A25)+($T$3:$T$200=$A25)+($U$3:$U$200=$A25)+($V$3:$V$200=$A25)+($W$3:$W$200=$A25)+($X$3:$X$200=$A25)+($Y$3:$Y$200=$A25)+($Z$3:$Z$200=$A25)+($AA$3:$AA$200=$A25))&gt;0)),$L$3:$L$200),"PENDIENTE"))</f>
        <v>PENDIENTE</v>
      </c>
      <c r="D25" s="17" t="str" cm="1">
        <f t="array" ref="D25">IF($A25="","",IFERROR(LOOKUP(2,1/(($K$3:$K$200="Prueba PCB")*((($M$3:$M$200=$A25)+($N$3:$N$200=$A25)+($O$3:$O$200=$A25)+($P$3:$P$200=$A25)+($Q$3:$Q$200=$A25)+($R$3:$R$200=$A25)+($S$3:$S$200=$A25)+($T$3:$T$200=$A25)+($U$3:$U$200=$A25)+($V$3:$V$200=$A25)+($W$3:$W$200=$A25)+($X$3:$X$200=$A25)+($Y$3:$Y$200=$A25)+($Z$3:$Z$200=$A25)+($AA$3:$AA$200=$A25))&gt;0)),$L$3:$L$200),"PENDIENTE"))</f>
        <v>PENDIENTE</v>
      </c>
      <c r="E25" s="17" t="str" cm="1">
        <f t="array" ref="E25">IF($A25="","",IFERROR(LOOKUP(2,1/(($K$3:$K$200="Integración")*((($M$3:$M$200=$A25)+($N$3:$N$200=$A25)+($O$3:$O$200=$A25)+($P$3:$P$200=$A25)+($Q$3:$Q$200=$A25)+($R$3:$R$200=$A25)+($S$3:$S$200=$A25)+($T$3:$T$200=$A25)+($U$3:$U$200=$A25)+($V$3:$V$200=$A25)+($W$3:$W$200=$A25)+($X$3:$X$200=$A25)+($Y$3:$Y$200=$A25)+($Z$3:$Z$200=$A25)+($AA$3:$AA$200=$A25))&gt;0)),$L$3:$L$200),"PENDIENTE"))</f>
        <v>PENDIENTE</v>
      </c>
      <c r="F25" s="17" t="str" cm="1">
        <f t="array" ref="F25">IF($A25="","",IFERROR(LOOKUP(2,1/(($K$3:$K$200="Prueba Final")*((($M$3:$M$200=$A25)+($N$3:$N$200=$A25)+($O$3:$O$200=$A25)+($P$3:$P$200=$A25)+($Q$3:$Q$200=$A25)+($R$3:$R$200=$A25)+($S$3:$S$200=$A25)+($T$3:$T$200=$A25)+($U$3:$U$200=$A25)+($V$3:$V$200=$A25)+($W$3:$W$200=$A25)+($X$3:$X$200=$A25)+($Y$3:$Y$200=$A25)+($Z$3:$Z$200=$A25)+($AA$3:$AA$200=$A25))&gt;0)),$L$3:$L$200),"PENDIENTE"))</f>
        <v>PENDIENTE</v>
      </c>
      <c r="G25" s="17" t="str">
        <f t="shared" si="0"/>
        <v>PENDIENTE</v>
      </c>
      <c r="H25" s="20"/>
      <c r="I25" s="20"/>
      <c r="J25" s="25"/>
      <c r="K25" s="26"/>
      <c r="L25" s="26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"/>
    </row>
    <row r="26" spans="1:28" ht="17.7" customHeight="1">
      <c r="A26" s="16" t="str">
        <f>IF(Producción!A26="","",Producción!A26)</f>
        <v>0037</v>
      </c>
      <c r="B26" s="17" t="str" cm="1">
        <f t="array" ref="B26">IF($A26="","",IFERROR(LOOKUP(2,1/(($K$3:$K$200="Soldadura")*((($M$3:$M$200=$A26)+($N$3:$N$200=$A26)+($O$3:$O$200=$A26)+($P$3:$P$200=$A26)+($Q$3:$Q$200=$A26)+($R$3:$R$200=$A26)+($S$3:$S$200=$A26)+($T$3:$T$200=$A26)+($U$3:$U$200=$A26)+($V$3:$V$200=$A26)+($W$3:$W$200=$A26)+($X$3:$X$200=$A26)+($Y$3:$Y$200=$A26)+($Z$3:$Z$200=$A26)+($AA$3:$AA$200=$A26))&gt;0)),$L$3:$L$200),"PENDIENTE"))</f>
        <v>PENDIENTE</v>
      </c>
      <c r="C26" s="17" t="str" cm="1">
        <f t="array" ref="C26">IF($A26="","",IFERROR(LOOKUP(2,1/(($K$3:$K$200="Programación")*((($M$3:$M$200=$A26)+($N$3:$N$200=$A26)+($O$3:$O$200=$A26)+($P$3:$P$200=$A26)+($Q$3:$Q$200=$A26)+($R$3:$R$200=$A26)+($S$3:$S$200=$A26)+($T$3:$T$200=$A26)+($U$3:$U$200=$A26)+($V$3:$V$200=$A26)+($W$3:$W$200=$A26)+($X$3:$X$200=$A26)+($Y$3:$Y$200=$A26)+($Z$3:$Z$200=$A26)+($AA$3:$AA$200=$A26))&gt;0)),$L$3:$L$200),"PENDIENTE"))</f>
        <v>PENDIENTE</v>
      </c>
      <c r="D26" s="17" t="str" cm="1">
        <f t="array" ref="D26">IF($A26="","",IFERROR(LOOKUP(2,1/(($K$3:$K$200="Prueba PCB")*((($M$3:$M$200=$A26)+($N$3:$N$200=$A26)+($O$3:$O$200=$A26)+($P$3:$P$200=$A26)+($Q$3:$Q$200=$A26)+($R$3:$R$200=$A26)+($S$3:$S$200=$A26)+($T$3:$T$200=$A26)+($U$3:$U$200=$A26)+($V$3:$V$200=$A26)+($W$3:$W$200=$A26)+($X$3:$X$200=$A26)+($Y$3:$Y$200=$A26)+($Z$3:$Z$200=$A26)+($AA$3:$AA$200=$A26))&gt;0)),$L$3:$L$200),"PENDIENTE"))</f>
        <v>PENDIENTE</v>
      </c>
      <c r="E26" s="17" t="str" cm="1">
        <f t="array" ref="E26">IF($A26="","",IFERROR(LOOKUP(2,1/(($K$3:$K$200="Integración")*((($M$3:$M$200=$A26)+($N$3:$N$200=$A26)+($O$3:$O$200=$A26)+($P$3:$P$200=$A26)+($Q$3:$Q$200=$A26)+($R$3:$R$200=$A26)+($S$3:$S$200=$A26)+($T$3:$T$200=$A26)+($U$3:$U$200=$A26)+($V$3:$V$200=$A26)+($W$3:$W$200=$A26)+($X$3:$X$200=$A26)+($Y$3:$Y$200=$A26)+($Z$3:$Z$200=$A26)+($AA$3:$AA$200=$A26))&gt;0)),$L$3:$L$200),"PENDIENTE"))</f>
        <v>PENDIENTE</v>
      </c>
      <c r="F26" s="17" t="str" cm="1">
        <f t="array" ref="F26">IF($A26="","",IFERROR(LOOKUP(2,1/(($K$3:$K$200="Prueba Final")*((($M$3:$M$200=$A26)+($N$3:$N$200=$A26)+($O$3:$O$200=$A26)+($P$3:$P$200=$A26)+($Q$3:$Q$200=$A26)+($R$3:$R$200=$A26)+($S$3:$S$200=$A26)+($T$3:$T$200=$A26)+($U$3:$U$200=$A26)+($V$3:$V$200=$A26)+($W$3:$W$200=$A26)+($X$3:$X$200=$A26)+($Y$3:$Y$200=$A26)+($Z$3:$Z$200=$A26)+($AA$3:$AA$200=$A26))&gt;0)),$L$3:$L$200),"PENDIENTE"))</f>
        <v>PENDIENTE</v>
      </c>
      <c r="G26" s="17" t="str">
        <f t="shared" si="0"/>
        <v>PENDIENTE</v>
      </c>
      <c r="H26" s="20"/>
      <c r="I26" s="20"/>
      <c r="J26" s="25"/>
      <c r="K26" s="26"/>
      <c r="L26" s="26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"/>
    </row>
    <row r="27" spans="1:28" ht="17.7" customHeight="1">
      <c r="A27" s="16" t="str">
        <f>IF(Producción!A27="","",Producción!A27)</f>
        <v>0039</v>
      </c>
      <c r="B27" s="17" t="str" cm="1">
        <f t="array" ref="B27">IF($A27="","",IFERROR(LOOKUP(2,1/(($K$3:$K$200="Soldadura")*((($M$3:$M$200=$A27)+($N$3:$N$200=$A27)+($O$3:$O$200=$A27)+($P$3:$P$200=$A27)+($Q$3:$Q$200=$A27)+($R$3:$R$200=$A27)+($S$3:$S$200=$A27)+($T$3:$T$200=$A27)+($U$3:$U$200=$A27)+($V$3:$V$200=$A27)+($W$3:$W$200=$A27)+($X$3:$X$200=$A27)+($Y$3:$Y$200=$A27)+($Z$3:$Z$200=$A27)+($AA$3:$AA$200=$A27))&gt;0)),$L$3:$L$200),"PENDIENTE"))</f>
        <v>PENDIENTE</v>
      </c>
      <c r="C27" s="17" t="str" cm="1">
        <f t="array" ref="C27">IF($A27="","",IFERROR(LOOKUP(2,1/(($K$3:$K$200="Programación")*((($M$3:$M$200=$A27)+($N$3:$N$200=$A27)+($O$3:$O$200=$A27)+($P$3:$P$200=$A27)+($Q$3:$Q$200=$A27)+($R$3:$R$200=$A27)+($S$3:$S$200=$A27)+($T$3:$T$200=$A27)+($U$3:$U$200=$A27)+($V$3:$V$200=$A27)+($W$3:$W$200=$A27)+($X$3:$X$200=$A27)+($Y$3:$Y$200=$A27)+($Z$3:$Z$200=$A27)+($AA$3:$AA$200=$A27))&gt;0)),$L$3:$L$200),"PENDIENTE"))</f>
        <v>PENDIENTE</v>
      </c>
      <c r="D27" s="17" t="str" cm="1">
        <f t="array" ref="D27">IF($A27="","",IFERROR(LOOKUP(2,1/(($K$3:$K$200="Prueba PCB")*((($M$3:$M$200=$A27)+($N$3:$N$200=$A27)+($O$3:$O$200=$A27)+($P$3:$P$200=$A27)+($Q$3:$Q$200=$A27)+($R$3:$R$200=$A27)+($S$3:$S$200=$A27)+($T$3:$T$200=$A27)+($U$3:$U$200=$A27)+($V$3:$V$200=$A27)+($W$3:$W$200=$A27)+($X$3:$X$200=$A27)+($Y$3:$Y$200=$A27)+($Z$3:$Z$200=$A27)+($AA$3:$AA$200=$A27))&gt;0)),$L$3:$L$200),"PENDIENTE"))</f>
        <v>PENDIENTE</v>
      </c>
      <c r="E27" s="17" t="str" cm="1">
        <f t="array" ref="E27">IF($A27="","",IFERROR(LOOKUP(2,1/(($K$3:$K$200="Integración")*((($M$3:$M$200=$A27)+($N$3:$N$200=$A27)+($O$3:$O$200=$A27)+($P$3:$P$200=$A27)+($Q$3:$Q$200=$A27)+($R$3:$R$200=$A27)+($S$3:$S$200=$A27)+($T$3:$T$200=$A27)+($U$3:$U$200=$A27)+($V$3:$V$200=$A27)+($W$3:$W$200=$A27)+($X$3:$X$200=$A27)+($Y$3:$Y$200=$A27)+($Z$3:$Z$200=$A27)+($AA$3:$AA$200=$A27))&gt;0)),$L$3:$L$200),"PENDIENTE"))</f>
        <v>PENDIENTE</v>
      </c>
      <c r="F27" s="17" t="str" cm="1">
        <f t="array" ref="F27">IF($A27="","",IFERROR(LOOKUP(2,1/(($K$3:$K$200="Prueba Final")*((($M$3:$M$200=$A27)+($N$3:$N$200=$A27)+($O$3:$O$200=$A27)+($P$3:$P$200=$A27)+($Q$3:$Q$200=$A27)+($R$3:$R$200=$A27)+($S$3:$S$200=$A27)+($T$3:$T$200=$A27)+($U$3:$U$200=$A27)+($V$3:$V$200=$A27)+($W$3:$W$200=$A27)+($X$3:$X$200=$A27)+($Y$3:$Y$200=$A27)+($Z$3:$Z$200=$A27)+($AA$3:$AA$200=$A27))&gt;0)),$L$3:$L$200),"PENDIENTE"))</f>
        <v>PENDIENTE</v>
      </c>
      <c r="G27" s="17" t="str">
        <f t="shared" si="0"/>
        <v>PENDIENTE</v>
      </c>
      <c r="H27" s="20"/>
      <c r="I27" s="20"/>
      <c r="J27" s="25"/>
      <c r="K27" s="26"/>
      <c r="L27" s="26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"/>
    </row>
    <row r="28" spans="1:28" ht="17.7" customHeight="1">
      <c r="A28" s="16" t="str">
        <f>IF(Producción!A28="","",Producción!A28)</f>
        <v>0040</v>
      </c>
      <c r="B28" s="17" t="str" cm="1">
        <f t="array" ref="B28">IF($A28="","",IFERROR(LOOKUP(2,1/(($K$3:$K$200="Soldadura")*((($M$3:$M$200=$A28)+($N$3:$N$200=$A28)+($O$3:$O$200=$A28)+($P$3:$P$200=$A28)+($Q$3:$Q$200=$A28)+($R$3:$R$200=$A28)+($S$3:$S$200=$A28)+($T$3:$T$200=$A28)+($U$3:$U$200=$A28)+($V$3:$V$200=$A28)+($W$3:$W$200=$A28)+($X$3:$X$200=$A28)+($Y$3:$Y$200=$A28)+($Z$3:$Z$200=$A28)+($AA$3:$AA$200=$A28))&gt;0)),$L$3:$L$200),"PENDIENTE"))</f>
        <v>PENDIENTE</v>
      </c>
      <c r="C28" s="17" t="str" cm="1">
        <f t="array" ref="C28">IF($A28="","",IFERROR(LOOKUP(2,1/(($K$3:$K$200="Programación")*((($M$3:$M$200=$A28)+($N$3:$N$200=$A28)+($O$3:$O$200=$A28)+($P$3:$P$200=$A28)+($Q$3:$Q$200=$A28)+($R$3:$R$200=$A28)+($S$3:$S$200=$A28)+($T$3:$T$200=$A28)+($U$3:$U$200=$A28)+($V$3:$V$200=$A28)+($W$3:$W$200=$A28)+($X$3:$X$200=$A28)+($Y$3:$Y$200=$A28)+($Z$3:$Z$200=$A28)+($AA$3:$AA$200=$A28))&gt;0)),$L$3:$L$200),"PENDIENTE"))</f>
        <v>PENDIENTE</v>
      </c>
      <c r="D28" s="17" t="str" cm="1">
        <f t="array" ref="D28">IF($A28="","",IFERROR(LOOKUP(2,1/(($K$3:$K$200="Prueba PCB")*((($M$3:$M$200=$A28)+($N$3:$N$200=$A28)+($O$3:$O$200=$A28)+($P$3:$P$200=$A28)+($Q$3:$Q$200=$A28)+($R$3:$R$200=$A28)+($S$3:$S$200=$A28)+($T$3:$T$200=$A28)+($U$3:$U$200=$A28)+($V$3:$V$200=$A28)+($W$3:$W$200=$A28)+($X$3:$X$200=$A28)+($Y$3:$Y$200=$A28)+($Z$3:$Z$200=$A28)+($AA$3:$AA$200=$A28))&gt;0)),$L$3:$L$200),"PENDIENTE"))</f>
        <v>PENDIENTE</v>
      </c>
      <c r="E28" s="17" t="str" cm="1">
        <f t="array" ref="E28">IF($A28="","",IFERROR(LOOKUP(2,1/(($K$3:$K$200="Integración")*((($M$3:$M$200=$A28)+($N$3:$N$200=$A28)+($O$3:$O$200=$A28)+($P$3:$P$200=$A28)+($Q$3:$Q$200=$A28)+($R$3:$R$200=$A28)+($S$3:$S$200=$A28)+($T$3:$T$200=$A28)+($U$3:$U$200=$A28)+($V$3:$V$200=$A28)+($W$3:$W$200=$A28)+($X$3:$X$200=$A28)+($Y$3:$Y$200=$A28)+($Z$3:$Z$200=$A28)+($AA$3:$AA$200=$A28))&gt;0)),$L$3:$L$200),"PENDIENTE"))</f>
        <v>PENDIENTE</v>
      </c>
      <c r="F28" s="17" t="str" cm="1">
        <f t="array" ref="F28">IF($A28="","",IFERROR(LOOKUP(2,1/(($K$3:$K$200="Prueba Final")*((($M$3:$M$200=$A28)+($N$3:$N$200=$A28)+($O$3:$O$200=$A28)+($P$3:$P$200=$A28)+($Q$3:$Q$200=$A28)+($R$3:$R$200=$A28)+($S$3:$S$200=$A28)+($T$3:$T$200=$A28)+($U$3:$U$200=$A28)+($V$3:$V$200=$A28)+($W$3:$W$200=$A28)+($X$3:$X$200=$A28)+($Y$3:$Y$200=$A28)+($Z$3:$Z$200=$A28)+($AA$3:$AA$200=$A28))&gt;0)),$L$3:$L$200),"PENDIENTE"))</f>
        <v>PENDIENTE</v>
      </c>
      <c r="G28" s="17" t="str">
        <f t="shared" si="0"/>
        <v>PENDIENTE</v>
      </c>
      <c r="H28" s="20"/>
      <c r="I28" s="20"/>
      <c r="J28" s="25"/>
      <c r="K28" s="26"/>
      <c r="L28" s="26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"/>
    </row>
    <row r="29" spans="1:28" ht="17.7" customHeight="1">
      <c r="A29" s="16" t="str">
        <f>IF(Producción!A29="","",Producción!A29)</f>
        <v>0041</v>
      </c>
      <c r="B29" s="17" t="str" cm="1">
        <f t="array" ref="B29">IF($A29="","",IFERROR(LOOKUP(2,1/(($K$3:$K$200="Soldadura")*((($M$3:$M$200=$A29)+($N$3:$N$200=$A29)+($O$3:$O$200=$A29)+($P$3:$P$200=$A29)+($Q$3:$Q$200=$A29)+($R$3:$R$200=$A29)+($S$3:$S$200=$A29)+($T$3:$T$200=$A29)+($U$3:$U$200=$A29)+($V$3:$V$200=$A29)+($W$3:$W$200=$A29)+($X$3:$X$200=$A29)+($Y$3:$Y$200=$A29)+($Z$3:$Z$200=$A29)+($AA$3:$AA$200=$A29))&gt;0)),$L$3:$L$200),"PENDIENTE"))</f>
        <v>PENDIENTE</v>
      </c>
      <c r="C29" s="17" t="str" cm="1">
        <f t="array" ref="C29">IF($A29="","",IFERROR(LOOKUP(2,1/(($K$3:$K$200="Programación")*((($M$3:$M$200=$A29)+($N$3:$N$200=$A29)+($O$3:$O$200=$A29)+($P$3:$P$200=$A29)+($Q$3:$Q$200=$A29)+($R$3:$R$200=$A29)+($S$3:$S$200=$A29)+($T$3:$T$200=$A29)+($U$3:$U$200=$A29)+($V$3:$V$200=$A29)+($W$3:$W$200=$A29)+($X$3:$X$200=$A29)+($Y$3:$Y$200=$A29)+($Z$3:$Z$200=$A29)+($AA$3:$AA$200=$A29))&gt;0)),$L$3:$L$200),"PENDIENTE"))</f>
        <v>PENDIENTE</v>
      </c>
      <c r="D29" s="17" t="str" cm="1">
        <f t="array" ref="D29">IF($A29="","",IFERROR(LOOKUP(2,1/(($K$3:$K$200="Prueba PCB")*((($M$3:$M$200=$A29)+($N$3:$N$200=$A29)+($O$3:$O$200=$A29)+($P$3:$P$200=$A29)+($Q$3:$Q$200=$A29)+($R$3:$R$200=$A29)+($S$3:$S$200=$A29)+($T$3:$T$200=$A29)+($U$3:$U$200=$A29)+($V$3:$V$200=$A29)+($W$3:$W$200=$A29)+($X$3:$X$200=$A29)+($Y$3:$Y$200=$A29)+($Z$3:$Z$200=$A29)+($AA$3:$AA$200=$A29))&gt;0)),$L$3:$L$200),"PENDIENTE"))</f>
        <v>PENDIENTE</v>
      </c>
      <c r="E29" s="17" t="str" cm="1">
        <f t="array" ref="E29">IF($A29="","",IFERROR(LOOKUP(2,1/(($K$3:$K$200="Integración")*((($M$3:$M$200=$A29)+($N$3:$N$200=$A29)+($O$3:$O$200=$A29)+($P$3:$P$200=$A29)+($Q$3:$Q$200=$A29)+($R$3:$R$200=$A29)+($S$3:$S$200=$A29)+($T$3:$T$200=$A29)+($U$3:$U$200=$A29)+($V$3:$V$200=$A29)+($W$3:$W$200=$A29)+($X$3:$X$200=$A29)+($Y$3:$Y$200=$A29)+($Z$3:$Z$200=$A29)+($AA$3:$AA$200=$A29))&gt;0)),$L$3:$L$200),"PENDIENTE"))</f>
        <v>PENDIENTE</v>
      </c>
      <c r="F29" s="17" t="str" cm="1">
        <f t="array" ref="F29">IF($A29="","",IFERROR(LOOKUP(2,1/(($K$3:$K$200="Prueba Final")*((($M$3:$M$200=$A29)+($N$3:$N$200=$A29)+($O$3:$O$200=$A29)+($P$3:$P$200=$A29)+($Q$3:$Q$200=$A29)+($R$3:$R$200=$A29)+($S$3:$S$200=$A29)+($T$3:$T$200=$A29)+($U$3:$U$200=$A29)+($V$3:$V$200=$A29)+($W$3:$W$200=$A29)+($X$3:$X$200=$A29)+($Y$3:$Y$200=$A29)+($Z$3:$Z$200=$A29)+($AA$3:$AA$200=$A29))&gt;0)),$L$3:$L$200),"PENDIENTE"))</f>
        <v>PENDIENTE</v>
      </c>
      <c r="G29" s="17" t="str">
        <f t="shared" si="0"/>
        <v>PENDIENTE</v>
      </c>
      <c r="H29" s="20"/>
      <c r="I29" s="20"/>
      <c r="J29" s="25"/>
      <c r="K29" s="26"/>
      <c r="L29" s="26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"/>
    </row>
    <row r="30" spans="1:28" ht="17.7" customHeight="1">
      <c r="A30" s="16" t="str">
        <f>IF(Producción!A30="","",Producción!A30)</f>
        <v>0042</v>
      </c>
      <c r="B30" s="17" t="str" cm="1">
        <f t="array" ref="B30">IF($A30="","",IFERROR(LOOKUP(2,1/(($K$3:$K$200="Soldadura")*((($M$3:$M$200=$A30)+($N$3:$N$200=$A30)+($O$3:$O$200=$A30)+($P$3:$P$200=$A30)+($Q$3:$Q$200=$A30)+($R$3:$R$200=$A30)+($S$3:$S$200=$A30)+($T$3:$T$200=$A30)+($U$3:$U$200=$A30)+($V$3:$V$200=$A30)+($W$3:$W$200=$A30)+($X$3:$X$200=$A30)+($Y$3:$Y$200=$A30)+($Z$3:$Z$200=$A30)+($AA$3:$AA$200=$A30))&gt;0)),$L$3:$L$200),"PENDIENTE"))</f>
        <v>PENDIENTE</v>
      </c>
      <c r="C30" s="17" t="str" cm="1">
        <f t="array" ref="C30">IF($A30="","",IFERROR(LOOKUP(2,1/(($K$3:$K$200="Programación")*((($M$3:$M$200=$A30)+($N$3:$N$200=$A30)+($O$3:$O$200=$A30)+($P$3:$P$200=$A30)+($Q$3:$Q$200=$A30)+($R$3:$R$200=$A30)+($S$3:$S$200=$A30)+($T$3:$T$200=$A30)+($U$3:$U$200=$A30)+($V$3:$V$200=$A30)+($W$3:$W$200=$A30)+($X$3:$X$200=$A30)+($Y$3:$Y$200=$A30)+($Z$3:$Z$200=$A30)+($AA$3:$AA$200=$A30))&gt;0)),$L$3:$L$200),"PENDIENTE"))</f>
        <v>PENDIENTE</v>
      </c>
      <c r="D30" s="17" t="str" cm="1">
        <f t="array" ref="D30">IF($A30="","",IFERROR(LOOKUP(2,1/(($K$3:$K$200="Prueba PCB")*((($M$3:$M$200=$A30)+($N$3:$N$200=$A30)+($O$3:$O$200=$A30)+($P$3:$P$200=$A30)+($Q$3:$Q$200=$A30)+($R$3:$R$200=$A30)+($S$3:$S$200=$A30)+($T$3:$T$200=$A30)+($U$3:$U$200=$A30)+($V$3:$V$200=$A30)+($W$3:$W$200=$A30)+($X$3:$X$200=$A30)+($Y$3:$Y$200=$A30)+($Z$3:$Z$200=$A30)+($AA$3:$AA$200=$A30))&gt;0)),$L$3:$L$200),"PENDIENTE"))</f>
        <v>PENDIENTE</v>
      </c>
      <c r="E30" s="17" t="str" cm="1">
        <f t="array" ref="E30">IF($A30="","",IFERROR(LOOKUP(2,1/(($K$3:$K$200="Integración")*((($M$3:$M$200=$A30)+($N$3:$N$200=$A30)+($O$3:$O$200=$A30)+($P$3:$P$200=$A30)+($Q$3:$Q$200=$A30)+($R$3:$R$200=$A30)+($S$3:$S$200=$A30)+($T$3:$T$200=$A30)+($U$3:$U$200=$A30)+($V$3:$V$200=$A30)+($W$3:$W$200=$A30)+($X$3:$X$200=$A30)+($Y$3:$Y$200=$A30)+($Z$3:$Z$200=$A30)+($AA$3:$AA$200=$A30))&gt;0)),$L$3:$L$200),"PENDIENTE"))</f>
        <v>PENDIENTE</v>
      </c>
      <c r="F30" s="17" t="str" cm="1">
        <f t="array" ref="F30">IF($A30="","",IFERROR(LOOKUP(2,1/(($K$3:$K$200="Prueba Final")*((($M$3:$M$200=$A30)+($N$3:$N$200=$A30)+($O$3:$O$200=$A30)+($P$3:$P$200=$A30)+($Q$3:$Q$200=$A30)+($R$3:$R$200=$A30)+($S$3:$S$200=$A30)+($T$3:$T$200=$A30)+($U$3:$U$200=$A30)+($V$3:$V$200=$A30)+($W$3:$W$200=$A30)+($X$3:$X$200=$A30)+($Y$3:$Y$200=$A30)+($Z$3:$Z$200=$A30)+($AA$3:$AA$200=$A30))&gt;0)),$L$3:$L$200),"PENDIENTE"))</f>
        <v>PENDIENTE</v>
      </c>
      <c r="G30" s="17" t="str">
        <f t="shared" si="0"/>
        <v>PENDIENTE</v>
      </c>
      <c r="H30" s="20"/>
      <c r="I30" s="20"/>
      <c r="J30" s="25"/>
      <c r="K30" s="26"/>
      <c r="L30" s="26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"/>
    </row>
    <row r="31" spans="1:28" ht="17.7" customHeight="1">
      <c r="A31" s="16" t="str">
        <f>IF(Producción!A31="","",Producción!A31)</f>
        <v>0043</v>
      </c>
      <c r="B31" s="17" t="str" cm="1">
        <f t="array" ref="B31">IF($A31="","",IFERROR(LOOKUP(2,1/(($K$3:$K$200="Soldadura")*((($M$3:$M$200=$A31)+($N$3:$N$200=$A31)+($O$3:$O$200=$A31)+($P$3:$P$200=$A31)+($Q$3:$Q$200=$A31)+($R$3:$R$200=$A31)+($S$3:$S$200=$A31)+($T$3:$T$200=$A31)+($U$3:$U$200=$A31)+($V$3:$V$200=$A31)+($W$3:$W$200=$A31)+($X$3:$X$200=$A31)+($Y$3:$Y$200=$A31)+($Z$3:$Z$200=$A31)+($AA$3:$AA$200=$A31))&gt;0)),$L$3:$L$200),"PENDIENTE"))</f>
        <v>PENDIENTE</v>
      </c>
      <c r="C31" s="17" t="str" cm="1">
        <f t="array" ref="C31">IF($A31="","",IFERROR(LOOKUP(2,1/(($K$3:$K$200="Programación")*((($M$3:$M$200=$A31)+($N$3:$N$200=$A31)+($O$3:$O$200=$A31)+($P$3:$P$200=$A31)+($Q$3:$Q$200=$A31)+($R$3:$R$200=$A31)+($S$3:$S$200=$A31)+($T$3:$T$200=$A31)+($U$3:$U$200=$A31)+($V$3:$V$200=$A31)+($W$3:$W$200=$A31)+($X$3:$X$200=$A31)+($Y$3:$Y$200=$A31)+($Z$3:$Z$200=$A31)+($AA$3:$AA$200=$A31))&gt;0)),$L$3:$L$200),"PENDIENTE"))</f>
        <v>PENDIENTE</v>
      </c>
      <c r="D31" s="17" t="str" cm="1">
        <f t="array" ref="D31">IF($A31="","",IFERROR(LOOKUP(2,1/(($K$3:$K$200="Prueba PCB")*((($M$3:$M$200=$A31)+($N$3:$N$200=$A31)+($O$3:$O$200=$A31)+($P$3:$P$200=$A31)+($Q$3:$Q$200=$A31)+($R$3:$R$200=$A31)+($S$3:$S$200=$A31)+($T$3:$T$200=$A31)+($U$3:$U$200=$A31)+($V$3:$V$200=$A31)+($W$3:$W$200=$A31)+($X$3:$X$200=$A31)+($Y$3:$Y$200=$A31)+($Z$3:$Z$200=$A31)+($AA$3:$AA$200=$A31))&gt;0)),$L$3:$L$200),"PENDIENTE"))</f>
        <v>PENDIENTE</v>
      </c>
      <c r="E31" s="17" t="str" cm="1">
        <f t="array" ref="E31">IF($A31="","",IFERROR(LOOKUP(2,1/(($K$3:$K$200="Integración")*((($M$3:$M$200=$A31)+($N$3:$N$200=$A31)+($O$3:$O$200=$A31)+($P$3:$P$200=$A31)+($Q$3:$Q$200=$A31)+($R$3:$R$200=$A31)+($S$3:$S$200=$A31)+($T$3:$T$200=$A31)+($U$3:$U$200=$A31)+($V$3:$V$200=$A31)+($W$3:$W$200=$A31)+($X$3:$X$200=$A31)+($Y$3:$Y$200=$A31)+($Z$3:$Z$200=$A31)+($AA$3:$AA$200=$A31))&gt;0)),$L$3:$L$200),"PENDIENTE"))</f>
        <v>PENDIENTE</v>
      </c>
      <c r="F31" s="17" t="str" cm="1">
        <f t="array" ref="F31">IF($A31="","",IFERROR(LOOKUP(2,1/(($K$3:$K$200="Prueba Final")*((($M$3:$M$200=$A31)+($N$3:$N$200=$A31)+($O$3:$O$200=$A31)+($P$3:$P$200=$A31)+($Q$3:$Q$200=$A31)+($R$3:$R$200=$A31)+($S$3:$S$200=$A31)+($T$3:$T$200=$A31)+($U$3:$U$200=$A31)+($V$3:$V$200=$A31)+($W$3:$W$200=$A31)+($X$3:$X$200=$A31)+($Y$3:$Y$200=$A31)+($Z$3:$Z$200=$A31)+($AA$3:$AA$200=$A31))&gt;0)),$L$3:$L$200),"PENDIENTE"))</f>
        <v>PENDIENTE</v>
      </c>
      <c r="G31" s="17" t="str">
        <f t="shared" si="0"/>
        <v>PENDIENTE</v>
      </c>
      <c r="H31" s="20"/>
      <c r="I31" s="20"/>
      <c r="J31" s="25"/>
      <c r="K31" s="26"/>
      <c r="L31" s="26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"/>
    </row>
    <row r="32" spans="1:28" ht="17.7" customHeight="1">
      <c r="A32" s="16" t="str">
        <f>IF(Producción!A32="","",Producción!A32)</f>
        <v>0044</v>
      </c>
      <c r="B32" s="17" t="str" cm="1">
        <f t="array" ref="B32">IF($A32="","",IFERROR(LOOKUP(2,1/(($K$3:$K$200="Soldadura")*((($M$3:$M$200=$A32)+($N$3:$N$200=$A32)+($O$3:$O$200=$A32)+($P$3:$P$200=$A32)+($Q$3:$Q$200=$A32)+($R$3:$R$200=$A32)+($S$3:$S$200=$A32)+($T$3:$T$200=$A32)+($U$3:$U$200=$A32)+($V$3:$V$200=$A32)+($W$3:$W$200=$A32)+($X$3:$X$200=$A32)+($Y$3:$Y$200=$A32)+($Z$3:$Z$200=$A32)+($AA$3:$AA$200=$A32))&gt;0)),$L$3:$L$200),"PENDIENTE"))</f>
        <v>PENDIENTE</v>
      </c>
      <c r="C32" s="17" t="str" cm="1">
        <f t="array" ref="C32">IF($A32="","",IFERROR(LOOKUP(2,1/(($K$3:$K$200="Programación")*((($M$3:$M$200=$A32)+($N$3:$N$200=$A32)+($O$3:$O$200=$A32)+($P$3:$P$200=$A32)+($Q$3:$Q$200=$A32)+($R$3:$R$200=$A32)+($S$3:$S$200=$A32)+($T$3:$T$200=$A32)+($U$3:$U$200=$A32)+($V$3:$V$200=$A32)+($W$3:$W$200=$A32)+($X$3:$X$200=$A32)+($Y$3:$Y$200=$A32)+($Z$3:$Z$200=$A32)+($AA$3:$AA$200=$A32))&gt;0)),$L$3:$L$200),"PENDIENTE"))</f>
        <v>PENDIENTE</v>
      </c>
      <c r="D32" s="17" t="str" cm="1">
        <f t="array" ref="D32">IF($A32="","",IFERROR(LOOKUP(2,1/(($K$3:$K$200="Prueba PCB")*((($M$3:$M$200=$A32)+($N$3:$N$200=$A32)+($O$3:$O$200=$A32)+($P$3:$P$200=$A32)+($Q$3:$Q$200=$A32)+($R$3:$R$200=$A32)+($S$3:$S$200=$A32)+($T$3:$T$200=$A32)+($U$3:$U$200=$A32)+($V$3:$V$200=$A32)+($W$3:$W$200=$A32)+($X$3:$X$200=$A32)+($Y$3:$Y$200=$A32)+($Z$3:$Z$200=$A32)+($AA$3:$AA$200=$A32))&gt;0)),$L$3:$L$200),"PENDIENTE"))</f>
        <v>PENDIENTE</v>
      </c>
      <c r="E32" s="17" t="str" cm="1">
        <f t="array" ref="E32">IF($A32="","",IFERROR(LOOKUP(2,1/(($K$3:$K$200="Integración")*((($M$3:$M$200=$A32)+($N$3:$N$200=$A32)+($O$3:$O$200=$A32)+($P$3:$P$200=$A32)+($Q$3:$Q$200=$A32)+($R$3:$R$200=$A32)+($S$3:$S$200=$A32)+($T$3:$T$200=$A32)+($U$3:$U$200=$A32)+($V$3:$V$200=$A32)+($W$3:$W$200=$A32)+($X$3:$X$200=$A32)+($Y$3:$Y$200=$A32)+($Z$3:$Z$200=$A32)+($AA$3:$AA$200=$A32))&gt;0)),$L$3:$L$200),"PENDIENTE"))</f>
        <v>PENDIENTE</v>
      </c>
      <c r="F32" s="17" t="str" cm="1">
        <f t="array" ref="F32">IF($A32="","",IFERROR(LOOKUP(2,1/(($K$3:$K$200="Prueba Final")*((($M$3:$M$200=$A32)+($N$3:$N$200=$A32)+($O$3:$O$200=$A32)+($P$3:$P$200=$A32)+($Q$3:$Q$200=$A32)+($R$3:$R$200=$A32)+($S$3:$S$200=$A32)+($T$3:$T$200=$A32)+($U$3:$U$200=$A32)+($V$3:$V$200=$A32)+($W$3:$W$200=$A32)+($X$3:$X$200=$A32)+($Y$3:$Y$200=$A32)+($Z$3:$Z$200=$A32)+($AA$3:$AA$200=$A32))&gt;0)),$L$3:$L$200),"PENDIENTE"))</f>
        <v>PENDIENTE</v>
      </c>
      <c r="G32" s="17" t="str">
        <f t="shared" si="0"/>
        <v>PENDIENTE</v>
      </c>
      <c r="H32" s="20"/>
      <c r="I32" s="20"/>
      <c r="J32" s="25"/>
      <c r="K32" s="26"/>
      <c r="L32" s="26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"/>
    </row>
    <row r="33" spans="1:28" ht="17.7" customHeight="1">
      <c r="A33" s="16" t="str">
        <f>IF(Producción!A33="","",Producción!A33)</f>
        <v>0045</v>
      </c>
      <c r="B33" s="17" t="str" cm="1">
        <f t="array" ref="B33">IF($A33="","",IFERROR(LOOKUP(2,1/(($K$3:$K$200="Soldadura")*((($M$3:$M$200=$A33)+($N$3:$N$200=$A33)+($O$3:$O$200=$A33)+($P$3:$P$200=$A33)+($Q$3:$Q$200=$A33)+($R$3:$R$200=$A33)+($S$3:$S$200=$A33)+($T$3:$T$200=$A33)+($U$3:$U$200=$A33)+($V$3:$V$200=$A33)+($W$3:$W$200=$A33)+($X$3:$X$200=$A33)+($Y$3:$Y$200=$A33)+($Z$3:$Z$200=$A33)+($AA$3:$AA$200=$A33))&gt;0)),$L$3:$L$200),"PENDIENTE"))</f>
        <v>PENDIENTE</v>
      </c>
      <c r="C33" s="17" t="str" cm="1">
        <f t="array" ref="C33">IF($A33="","",IFERROR(LOOKUP(2,1/(($K$3:$K$200="Programación")*((($M$3:$M$200=$A33)+($N$3:$N$200=$A33)+($O$3:$O$200=$A33)+($P$3:$P$200=$A33)+($Q$3:$Q$200=$A33)+($R$3:$R$200=$A33)+($S$3:$S$200=$A33)+($T$3:$T$200=$A33)+($U$3:$U$200=$A33)+($V$3:$V$200=$A33)+($W$3:$W$200=$A33)+($X$3:$X$200=$A33)+($Y$3:$Y$200=$A33)+($Z$3:$Z$200=$A33)+($AA$3:$AA$200=$A33))&gt;0)),$L$3:$L$200),"PENDIENTE"))</f>
        <v>PENDIENTE</v>
      </c>
      <c r="D33" s="17" t="str" cm="1">
        <f t="array" ref="D33">IF($A33="","",IFERROR(LOOKUP(2,1/(($K$3:$K$200="Prueba PCB")*((($M$3:$M$200=$A33)+($N$3:$N$200=$A33)+($O$3:$O$200=$A33)+($P$3:$P$200=$A33)+($Q$3:$Q$200=$A33)+($R$3:$R$200=$A33)+($S$3:$S$200=$A33)+($T$3:$T$200=$A33)+($U$3:$U$200=$A33)+($V$3:$V$200=$A33)+($W$3:$W$200=$A33)+($X$3:$X$200=$A33)+($Y$3:$Y$200=$A33)+($Z$3:$Z$200=$A33)+($AA$3:$AA$200=$A33))&gt;0)),$L$3:$L$200),"PENDIENTE"))</f>
        <v>PENDIENTE</v>
      </c>
      <c r="E33" s="17" t="str" cm="1">
        <f t="array" ref="E33">IF($A33="","",IFERROR(LOOKUP(2,1/(($K$3:$K$200="Integración")*((($M$3:$M$200=$A33)+($N$3:$N$200=$A33)+($O$3:$O$200=$A33)+($P$3:$P$200=$A33)+($Q$3:$Q$200=$A33)+($R$3:$R$200=$A33)+($S$3:$S$200=$A33)+($T$3:$T$200=$A33)+($U$3:$U$200=$A33)+($V$3:$V$200=$A33)+($W$3:$W$200=$A33)+($X$3:$X$200=$A33)+($Y$3:$Y$200=$A33)+($Z$3:$Z$200=$A33)+($AA$3:$AA$200=$A33))&gt;0)),$L$3:$L$200),"PENDIENTE"))</f>
        <v>PENDIENTE</v>
      </c>
      <c r="F33" s="17" t="str" cm="1">
        <f t="array" ref="F33">IF($A33="","",IFERROR(LOOKUP(2,1/(($K$3:$K$200="Prueba Final")*((($M$3:$M$200=$A33)+($N$3:$N$200=$A33)+($O$3:$O$200=$A33)+($P$3:$P$200=$A33)+($Q$3:$Q$200=$A33)+($R$3:$R$200=$A33)+($S$3:$S$200=$A33)+($T$3:$T$200=$A33)+($U$3:$U$200=$A33)+($V$3:$V$200=$A33)+($W$3:$W$200=$A33)+($X$3:$X$200=$A33)+($Y$3:$Y$200=$A33)+($Z$3:$Z$200=$A33)+($AA$3:$AA$200=$A33))&gt;0)),$L$3:$L$200),"PENDIENTE"))</f>
        <v>PENDIENTE</v>
      </c>
      <c r="G33" s="17" t="str">
        <f t="shared" si="0"/>
        <v>PENDIENTE</v>
      </c>
      <c r="H33" s="20"/>
      <c r="I33" s="20"/>
      <c r="J33" s="25"/>
      <c r="K33" s="26"/>
      <c r="L33" s="26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"/>
    </row>
    <row r="34" spans="1:28" ht="17.7" customHeight="1">
      <c r="A34" s="16" t="str">
        <f>IF(Producción!A34="","",Producción!A34)</f>
        <v>0046</v>
      </c>
      <c r="B34" s="17" t="str" cm="1">
        <f t="array" ref="B34">IF($A34="","",IFERROR(LOOKUP(2,1/(($K$3:$K$200="Soldadura")*((($M$3:$M$200=$A34)+($N$3:$N$200=$A34)+($O$3:$O$200=$A34)+($P$3:$P$200=$A34)+($Q$3:$Q$200=$A34)+($R$3:$R$200=$A34)+($S$3:$S$200=$A34)+($T$3:$T$200=$A34)+($U$3:$U$200=$A34)+($V$3:$V$200=$A34)+($W$3:$W$200=$A34)+($X$3:$X$200=$A34)+($Y$3:$Y$200=$A34)+($Z$3:$Z$200=$A34)+($AA$3:$AA$200=$A34))&gt;0)),$L$3:$L$200),"PENDIENTE"))</f>
        <v>PENDIENTE</v>
      </c>
      <c r="C34" s="17" t="str" cm="1">
        <f t="array" ref="C34">IF($A34="","",IFERROR(LOOKUP(2,1/(($K$3:$K$200="Programación")*((($M$3:$M$200=$A34)+($N$3:$N$200=$A34)+($O$3:$O$200=$A34)+($P$3:$P$200=$A34)+($Q$3:$Q$200=$A34)+($R$3:$R$200=$A34)+($S$3:$S$200=$A34)+($T$3:$T$200=$A34)+($U$3:$U$200=$A34)+($V$3:$V$200=$A34)+($W$3:$W$200=$A34)+($X$3:$X$200=$A34)+($Y$3:$Y$200=$A34)+($Z$3:$Z$200=$A34)+($AA$3:$AA$200=$A34))&gt;0)),$L$3:$L$200),"PENDIENTE"))</f>
        <v>PENDIENTE</v>
      </c>
      <c r="D34" s="17" t="str" cm="1">
        <f t="array" ref="D34">IF($A34="","",IFERROR(LOOKUP(2,1/(($K$3:$K$200="Prueba PCB")*((($M$3:$M$200=$A34)+($N$3:$N$200=$A34)+($O$3:$O$200=$A34)+($P$3:$P$200=$A34)+($Q$3:$Q$200=$A34)+($R$3:$R$200=$A34)+($S$3:$S$200=$A34)+($T$3:$T$200=$A34)+($U$3:$U$200=$A34)+($V$3:$V$200=$A34)+($W$3:$W$200=$A34)+($X$3:$X$200=$A34)+($Y$3:$Y$200=$A34)+($Z$3:$Z$200=$A34)+($AA$3:$AA$200=$A34))&gt;0)),$L$3:$L$200),"PENDIENTE"))</f>
        <v>PENDIENTE</v>
      </c>
      <c r="E34" s="17" t="str" cm="1">
        <f t="array" ref="E34">IF($A34="","",IFERROR(LOOKUP(2,1/(($K$3:$K$200="Integración")*((($M$3:$M$200=$A34)+($N$3:$N$200=$A34)+($O$3:$O$200=$A34)+($P$3:$P$200=$A34)+($Q$3:$Q$200=$A34)+($R$3:$R$200=$A34)+($S$3:$S$200=$A34)+($T$3:$T$200=$A34)+($U$3:$U$200=$A34)+($V$3:$V$200=$A34)+($W$3:$W$200=$A34)+($X$3:$X$200=$A34)+($Y$3:$Y$200=$A34)+($Z$3:$Z$200=$A34)+($AA$3:$AA$200=$A34))&gt;0)),$L$3:$L$200),"PENDIENTE"))</f>
        <v>PENDIENTE</v>
      </c>
      <c r="F34" s="17" t="str" cm="1">
        <f t="array" ref="F34">IF($A34="","",IFERROR(LOOKUP(2,1/(($K$3:$K$200="Prueba Final")*((($M$3:$M$200=$A34)+($N$3:$N$200=$A34)+($O$3:$O$200=$A34)+($P$3:$P$200=$A34)+($Q$3:$Q$200=$A34)+($R$3:$R$200=$A34)+($S$3:$S$200=$A34)+($T$3:$T$200=$A34)+($U$3:$U$200=$A34)+($V$3:$V$200=$A34)+($W$3:$W$200=$A34)+($X$3:$X$200=$A34)+($Y$3:$Y$200=$A34)+($Z$3:$Z$200=$A34)+($AA$3:$AA$200=$A34))&gt;0)),$L$3:$L$200),"PENDIENTE"))</f>
        <v>PENDIENTE</v>
      </c>
      <c r="G34" s="17" t="str">
        <f t="shared" ref="G34:G65" si="1">IF($A34="","",IF(COUNTIF(B34:F34,"FALLA")&gt;0,"DETENIDO",IF(COUNTIF(B34:F34,"RETRABAJO")&gt;0,"RETRABAJO",IF(COUNTIF(B34:F34,"OK")+COUNTIF(B34:F34,"NO APLICA")=5,"LIBERADO",IF(COUNTIF(B34:F34,"PENDIENTE")=5,"PENDIENTE","EN PROCESO")))))</f>
        <v>PENDIENTE</v>
      </c>
      <c r="H34" s="20"/>
      <c r="I34" s="20"/>
      <c r="J34" s="25"/>
      <c r="K34" s="26"/>
      <c r="L34" s="26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"/>
    </row>
    <row r="35" spans="1:28" ht="17.7" customHeight="1">
      <c r="A35" s="16" t="str">
        <f>IF(Producción!A35="","",Producción!A35)</f>
        <v>0047</v>
      </c>
      <c r="B35" s="17" t="str" cm="1">
        <f t="array" ref="B35">IF($A35="","",IFERROR(LOOKUP(2,1/(($K$3:$K$200="Soldadura")*((($M$3:$M$200=$A35)+($N$3:$N$200=$A35)+($O$3:$O$200=$A35)+($P$3:$P$200=$A35)+($Q$3:$Q$200=$A35)+($R$3:$R$200=$A35)+($S$3:$S$200=$A35)+($T$3:$T$200=$A35)+($U$3:$U$200=$A35)+($V$3:$V$200=$A35)+($W$3:$W$200=$A35)+($X$3:$X$200=$A35)+($Y$3:$Y$200=$A35)+($Z$3:$Z$200=$A35)+($AA$3:$AA$200=$A35))&gt;0)),$L$3:$L$200),"PENDIENTE"))</f>
        <v>PENDIENTE</v>
      </c>
      <c r="C35" s="17" t="str" cm="1">
        <f t="array" ref="C35">IF($A35="","",IFERROR(LOOKUP(2,1/(($K$3:$K$200="Programación")*((($M$3:$M$200=$A35)+($N$3:$N$200=$A35)+($O$3:$O$200=$A35)+($P$3:$P$200=$A35)+($Q$3:$Q$200=$A35)+($R$3:$R$200=$A35)+($S$3:$S$200=$A35)+($T$3:$T$200=$A35)+($U$3:$U$200=$A35)+($V$3:$V$200=$A35)+($W$3:$W$200=$A35)+($X$3:$X$200=$A35)+($Y$3:$Y$200=$A35)+($Z$3:$Z$200=$A35)+($AA$3:$AA$200=$A35))&gt;0)),$L$3:$L$200),"PENDIENTE"))</f>
        <v>PENDIENTE</v>
      </c>
      <c r="D35" s="17" t="str" cm="1">
        <f t="array" ref="D35">IF($A35="","",IFERROR(LOOKUP(2,1/(($K$3:$K$200="Prueba PCB")*((($M$3:$M$200=$A35)+($N$3:$N$200=$A35)+($O$3:$O$200=$A35)+($P$3:$P$200=$A35)+($Q$3:$Q$200=$A35)+($R$3:$R$200=$A35)+($S$3:$S$200=$A35)+($T$3:$T$200=$A35)+($U$3:$U$200=$A35)+($V$3:$V$200=$A35)+($W$3:$W$200=$A35)+($X$3:$X$200=$A35)+($Y$3:$Y$200=$A35)+($Z$3:$Z$200=$A35)+($AA$3:$AA$200=$A35))&gt;0)),$L$3:$L$200),"PENDIENTE"))</f>
        <v>PENDIENTE</v>
      </c>
      <c r="E35" s="17" t="str" cm="1">
        <f t="array" ref="E35">IF($A35="","",IFERROR(LOOKUP(2,1/(($K$3:$K$200="Integración")*((($M$3:$M$200=$A35)+($N$3:$N$200=$A35)+($O$3:$O$200=$A35)+($P$3:$P$200=$A35)+($Q$3:$Q$200=$A35)+($R$3:$R$200=$A35)+($S$3:$S$200=$A35)+($T$3:$T$200=$A35)+($U$3:$U$200=$A35)+($V$3:$V$200=$A35)+($W$3:$W$200=$A35)+($X$3:$X$200=$A35)+($Y$3:$Y$200=$A35)+($Z$3:$Z$200=$A35)+($AA$3:$AA$200=$A35))&gt;0)),$L$3:$L$200),"PENDIENTE"))</f>
        <v>PENDIENTE</v>
      </c>
      <c r="F35" s="17" t="str" cm="1">
        <f t="array" ref="F35">IF($A35="","",IFERROR(LOOKUP(2,1/(($K$3:$K$200="Prueba Final")*((($M$3:$M$200=$A35)+($N$3:$N$200=$A35)+($O$3:$O$200=$A35)+($P$3:$P$200=$A35)+($Q$3:$Q$200=$A35)+($R$3:$R$200=$A35)+($S$3:$S$200=$A35)+($T$3:$T$200=$A35)+($U$3:$U$200=$A35)+($V$3:$V$200=$A35)+($W$3:$W$200=$A35)+($X$3:$X$200=$A35)+($Y$3:$Y$200=$A35)+($Z$3:$Z$200=$A35)+($AA$3:$AA$200=$A35))&gt;0)),$L$3:$L$200),"PENDIENTE"))</f>
        <v>PENDIENTE</v>
      </c>
      <c r="G35" s="17" t="str">
        <f t="shared" si="1"/>
        <v>PENDIENTE</v>
      </c>
      <c r="H35" s="20"/>
      <c r="I35" s="20"/>
      <c r="J35" s="25"/>
      <c r="K35" s="26"/>
      <c r="L35" s="26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"/>
    </row>
    <row r="36" spans="1:28" ht="17.7" customHeight="1">
      <c r="A36" s="16" t="str">
        <f>IF(Producción!A36="","",Producción!A36)</f>
        <v>0048</v>
      </c>
      <c r="B36" s="17" t="str" cm="1">
        <f t="array" ref="B36">IF($A36="","",IFERROR(LOOKUP(2,1/(($K$3:$K$200="Soldadura")*((($M$3:$M$200=$A36)+($N$3:$N$200=$A36)+($O$3:$O$200=$A36)+($P$3:$P$200=$A36)+($Q$3:$Q$200=$A36)+($R$3:$R$200=$A36)+($S$3:$S$200=$A36)+($T$3:$T$200=$A36)+($U$3:$U$200=$A36)+($V$3:$V$200=$A36)+($W$3:$W$200=$A36)+($X$3:$X$200=$A36)+($Y$3:$Y$200=$A36)+($Z$3:$Z$200=$A36)+($AA$3:$AA$200=$A36))&gt;0)),$L$3:$L$200),"PENDIENTE"))</f>
        <v>PENDIENTE</v>
      </c>
      <c r="C36" s="17" t="str" cm="1">
        <f t="array" ref="C36">IF($A36="","",IFERROR(LOOKUP(2,1/(($K$3:$K$200="Programación")*((($M$3:$M$200=$A36)+($N$3:$N$200=$A36)+($O$3:$O$200=$A36)+($P$3:$P$200=$A36)+($Q$3:$Q$200=$A36)+($R$3:$R$200=$A36)+($S$3:$S$200=$A36)+($T$3:$T$200=$A36)+($U$3:$U$200=$A36)+($V$3:$V$200=$A36)+($W$3:$W$200=$A36)+($X$3:$X$200=$A36)+($Y$3:$Y$200=$A36)+($Z$3:$Z$200=$A36)+($AA$3:$AA$200=$A36))&gt;0)),$L$3:$L$200),"PENDIENTE"))</f>
        <v>PENDIENTE</v>
      </c>
      <c r="D36" s="17" t="str" cm="1">
        <f t="array" ref="D36">IF($A36="","",IFERROR(LOOKUP(2,1/(($K$3:$K$200="Prueba PCB")*((($M$3:$M$200=$A36)+($N$3:$N$200=$A36)+($O$3:$O$200=$A36)+($P$3:$P$200=$A36)+($Q$3:$Q$200=$A36)+($R$3:$R$200=$A36)+($S$3:$S$200=$A36)+($T$3:$T$200=$A36)+($U$3:$U$200=$A36)+($V$3:$V$200=$A36)+($W$3:$W$200=$A36)+($X$3:$X$200=$A36)+($Y$3:$Y$200=$A36)+($Z$3:$Z$200=$A36)+($AA$3:$AA$200=$A36))&gt;0)),$L$3:$L$200),"PENDIENTE"))</f>
        <v>PENDIENTE</v>
      </c>
      <c r="E36" s="17" t="str" cm="1">
        <f t="array" ref="E36">IF($A36="","",IFERROR(LOOKUP(2,1/(($K$3:$K$200="Integración")*((($M$3:$M$200=$A36)+($N$3:$N$200=$A36)+($O$3:$O$200=$A36)+($P$3:$P$200=$A36)+($Q$3:$Q$200=$A36)+($R$3:$R$200=$A36)+($S$3:$S$200=$A36)+($T$3:$T$200=$A36)+($U$3:$U$200=$A36)+($V$3:$V$200=$A36)+($W$3:$W$200=$A36)+($X$3:$X$200=$A36)+($Y$3:$Y$200=$A36)+($Z$3:$Z$200=$A36)+($AA$3:$AA$200=$A36))&gt;0)),$L$3:$L$200),"PENDIENTE"))</f>
        <v>PENDIENTE</v>
      </c>
      <c r="F36" s="17" t="str" cm="1">
        <f t="array" ref="F36">IF($A36="","",IFERROR(LOOKUP(2,1/(($K$3:$K$200="Prueba Final")*((($M$3:$M$200=$A36)+($N$3:$N$200=$A36)+($O$3:$O$200=$A36)+($P$3:$P$200=$A36)+($Q$3:$Q$200=$A36)+($R$3:$R$200=$A36)+($S$3:$S$200=$A36)+($T$3:$T$200=$A36)+($U$3:$U$200=$A36)+($V$3:$V$200=$A36)+($W$3:$W$200=$A36)+($X$3:$X$200=$A36)+($Y$3:$Y$200=$A36)+($Z$3:$Z$200=$A36)+($AA$3:$AA$200=$A36))&gt;0)),$L$3:$L$200),"PENDIENTE"))</f>
        <v>PENDIENTE</v>
      </c>
      <c r="G36" s="17" t="str">
        <f t="shared" si="1"/>
        <v>PENDIENTE</v>
      </c>
      <c r="H36" s="20"/>
      <c r="I36" s="20"/>
      <c r="J36" s="25"/>
      <c r="K36" s="26"/>
      <c r="L36" s="26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"/>
    </row>
    <row r="37" spans="1:28" ht="17.7" customHeight="1">
      <c r="A37" s="16" t="str">
        <f>IF(Producción!A37="","",Producción!A37)</f>
        <v>0049</v>
      </c>
      <c r="B37" s="17" t="str" cm="1">
        <f t="array" ref="B37">IF($A37="","",IFERROR(LOOKUP(2,1/(($K$3:$K$200="Soldadura")*((($M$3:$M$200=$A37)+($N$3:$N$200=$A37)+($O$3:$O$200=$A37)+($P$3:$P$200=$A37)+($Q$3:$Q$200=$A37)+($R$3:$R$200=$A37)+($S$3:$S$200=$A37)+($T$3:$T$200=$A37)+($U$3:$U$200=$A37)+($V$3:$V$200=$A37)+($W$3:$W$200=$A37)+($X$3:$X$200=$A37)+($Y$3:$Y$200=$A37)+($Z$3:$Z$200=$A37)+($AA$3:$AA$200=$A37))&gt;0)),$L$3:$L$200),"PENDIENTE"))</f>
        <v>PENDIENTE</v>
      </c>
      <c r="C37" s="17" t="str" cm="1">
        <f t="array" ref="C37">IF($A37="","",IFERROR(LOOKUP(2,1/(($K$3:$K$200="Programación")*((($M$3:$M$200=$A37)+($N$3:$N$200=$A37)+($O$3:$O$200=$A37)+($P$3:$P$200=$A37)+($Q$3:$Q$200=$A37)+($R$3:$R$200=$A37)+($S$3:$S$200=$A37)+($T$3:$T$200=$A37)+($U$3:$U$200=$A37)+($V$3:$V$200=$A37)+($W$3:$W$200=$A37)+($X$3:$X$200=$A37)+($Y$3:$Y$200=$A37)+($Z$3:$Z$200=$A37)+($AA$3:$AA$200=$A37))&gt;0)),$L$3:$L$200),"PENDIENTE"))</f>
        <v>PENDIENTE</v>
      </c>
      <c r="D37" s="17" t="str" cm="1">
        <f t="array" ref="D37">IF($A37="","",IFERROR(LOOKUP(2,1/(($K$3:$K$200="Prueba PCB")*((($M$3:$M$200=$A37)+($N$3:$N$200=$A37)+($O$3:$O$200=$A37)+($P$3:$P$200=$A37)+($Q$3:$Q$200=$A37)+($R$3:$R$200=$A37)+($S$3:$S$200=$A37)+($T$3:$T$200=$A37)+($U$3:$U$200=$A37)+($V$3:$V$200=$A37)+($W$3:$W$200=$A37)+($X$3:$X$200=$A37)+($Y$3:$Y$200=$A37)+($Z$3:$Z$200=$A37)+($AA$3:$AA$200=$A37))&gt;0)),$L$3:$L$200),"PENDIENTE"))</f>
        <v>PENDIENTE</v>
      </c>
      <c r="E37" s="17" t="str" cm="1">
        <f t="array" ref="E37">IF($A37="","",IFERROR(LOOKUP(2,1/(($K$3:$K$200="Integración")*((($M$3:$M$200=$A37)+($N$3:$N$200=$A37)+($O$3:$O$200=$A37)+($P$3:$P$200=$A37)+($Q$3:$Q$200=$A37)+($R$3:$R$200=$A37)+($S$3:$S$200=$A37)+($T$3:$T$200=$A37)+($U$3:$U$200=$A37)+($V$3:$V$200=$A37)+($W$3:$W$200=$A37)+($X$3:$X$200=$A37)+($Y$3:$Y$200=$A37)+($Z$3:$Z$200=$A37)+($AA$3:$AA$200=$A37))&gt;0)),$L$3:$L$200),"PENDIENTE"))</f>
        <v>PENDIENTE</v>
      </c>
      <c r="F37" s="17" t="str" cm="1">
        <f t="array" ref="F37">IF($A37="","",IFERROR(LOOKUP(2,1/(($K$3:$K$200="Prueba Final")*((($M$3:$M$200=$A37)+($N$3:$N$200=$A37)+($O$3:$O$200=$A37)+($P$3:$P$200=$A37)+($Q$3:$Q$200=$A37)+($R$3:$R$200=$A37)+($S$3:$S$200=$A37)+($T$3:$T$200=$A37)+($U$3:$U$200=$A37)+($V$3:$V$200=$A37)+($W$3:$W$200=$A37)+($X$3:$X$200=$A37)+($Y$3:$Y$200=$A37)+($Z$3:$Z$200=$A37)+($AA$3:$AA$200=$A37))&gt;0)),$L$3:$L$200),"PENDIENTE"))</f>
        <v>PENDIENTE</v>
      </c>
      <c r="G37" s="17" t="str">
        <f t="shared" si="1"/>
        <v>PENDIENTE</v>
      </c>
      <c r="H37" s="20"/>
      <c r="I37" s="20"/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"/>
    </row>
    <row r="38" spans="1:28" ht="17.7" customHeight="1">
      <c r="A38" s="16" t="str">
        <f>IF(Producción!A38="","",Producción!A38)</f>
        <v>0050</v>
      </c>
      <c r="B38" s="17" t="str" cm="1">
        <f t="array" ref="B38">IF($A38="","",IFERROR(LOOKUP(2,1/(($K$3:$K$200="Soldadura")*((($M$3:$M$200=$A38)+($N$3:$N$200=$A38)+($O$3:$O$200=$A38)+($P$3:$P$200=$A38)+($Q$3:$Q$200=$A38)+($R$3:$R$200=$A38)+($S$3:$S$200=$A38)+($T$3:$T$200=$A38)+($U$3:$U$200=$A38)+($V$3:$V$200=$A38)+($W$3:$W$200=$A38)+($X$3:$X$200=$A38)+($Y$3:$Y$200=$A38)+($Z$3:$Z$200=$A38)+($AA$3:$AA$200=$A38))&gt;0)),$L$3:$L$200),"PENDIENTE"))</f>
        <v>PENDIENTE</v>
      </c>
      <c r="C38" s="17" t="str" cm="1">
        <f t="array" ref="C38">IF($A38="","",IFERROR(LOOKUP(2,1/(($K$3:$K$200="Programación")*((($M$3:$M$200=$A38)+($N$3:$N$200=$A38)+($O$3:$O$200=$A38)+($P$3:$P$200=$A38)+($Q$3:$Q$200=$A38)+($R$3:$R$200=$A38)+($S$3:$S$200=$A38)+($T$3:$T$200=$A38)+($U$3:$U$200=$A38)+($V$3:$V$200=$A38)+($W$3:$W$200=$A38)+($X$3:$X$200=$A38)+($Y$3:$Y$200=$A38)+($Z$3:$Z$200=$A38)+($AA$3:$AA$200=$A38))&gt;0)),$L$3:$L$200),"PENDIENTE"))</f>
        <v>PENDIENTE</v>
      </c>
      <c r="D38" s="17" t="str" cm="1">
        <f t="array" ref="D38">IF($A38="","",IFERROR(LOOKUP(2,1/(($K$3:$K$200="Prueba PCB")*((($M$3:$M$200=$A38)+($N$3:$N$200=$A38)+($O$3:$O$200=$A38)+($P$3:$P$200=$A38)+($Q$3:$Q$200=$A38)+($R$3:$R$200=$A38)+($S$3:$S$200=$A38)+($T$3:$T$200=$A38)+($U$3:$U$200=$A38)+($V$3:$V$200=$A38)+($W$3:$W$200=$A38)+($X$3:$X$200=$A38)+($Y$3:$Y$200=$A38)+($Z$3:$Z$200=$A38)+($AA$3:$AA$200=$A38))&gt;0)),$L$3:$L$200),"PENDIENTE"))</f>
        <v>PENDIENTE</v>
      </c>
      <c r="E38" s="17" t="str" cm="1">
        <f t="array" ref="E38">IF($A38="","",IFERROR(LOOKUP(2,1/(($K$3:$K$200="Integración")*((($M$3:$M$200=$A38)+($N$3:$N$200=$A38)+($O$3:$O$200=$A38)+($P$3:$P$200=$A38)+($Q$3:$Q$200=$A38)+($R$3:$R$200=$A38)+($S$3:$S$200=$A38)+($T$3:$T$200=$A38)+($U$3:$U$200=$A38)+($V$3:$V$200=$A38)+($W$3:$W$200=$A38)+($X$3:$X$200=$A38)+($Y$3:$Y$200=$A38)+($Z$3:$Z$200=$A38)+($AA$3:$AA$200=$A38))&gt;0)),$L$3:$L$200),"PENDIENTE"))</f>
        <v>PENDIENTE</v>
      </c>
      <c r="F38" s="17" t="str" cm="1">
        <f t="array" ref="F38">IF($A38="","",IFERROR(LOOKUP(2,1/(($K$3:$K$200="Prueba Final")*((($M$3:$M$200=$A38)+($N$3:$N$200=$A38)+($O$3:$O$200=$A38)+($P$3:$P$200=$A38)+($Q$3:$Q$200=$A38)+($R$3:$R$200=$A38)+($S$3:$S$200=$A38)+($T$3:$T$200=$A38)+($U$3:$U$200=$A38)+($V$3:$V$200=$A38)+($W$3:$W$200=$A38)+($X$3:$X$200=$A38)+($Y$3:$Y$200=$A38)+($Z$3:$Z$200=$A38)+($AA$3:$AA$200=$A38))&gt;0)),$L$3:$L$200),"PENDIENTE"))</f>
        <v>PENDIENTE</v>
      </c>
      <c r="G38" s="17" t="str">
        <f t="shared" si="1"/>
        <v>PENDIENTE</v>
      </c>
      <c r="H38" s="20"/>
      <c r="I38" s="20"/>
      <c r="J38" s="25"/>
      <c r="K38" s="26"/>
      <c r="L38" s="26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"/>
    </row>
    <row r="39" spans="1:28" ht="17.7" customHeight="1">
      <c r="A39" s="16" t="str">
        <f>IF(Producción!A39="","",Producción!A39)</f>
        <v>0051</v>
      </c>
      <c r="B39" s="17" t="str" cm="1">
        <f t="array" ref="B39">IF($A39="","",IFERROR(LOOKUP(2,1/(($K$3:$K$200="Soldadura")*((($M$3:$M$200=$A39)+($N$3:$N$200=$A39)+($O$3:$O$200=$A39)+($P$3:$P$200=$A39)+($Q$3:$Q$200=$A39)+($R$3:$R$200=$A39)+($S$3:$S$200=$A39)+($T$3:$T$200=$A39)+($U$3:$U$200=$A39)+($V$3:$V$200=$A39)+($W$3:$W$200=$A39)+($X$3:$X$200=$A39)+($Y$3:$Y$200=$A39)+($Z$3:$Z$200=$A39)+($AA$3:$AA$200=$A39))&gt;0)),$L$3:$L$200),"PENDIENTE"))</f>
        <v>PENDIENTE</v>
      </c>
      <c r="C39" s="17" t="str" cm="1">
        <f t="array" ref="C39">IF($A39="","",IFERROR(LOOKUP(2,1/(($K$3:$K$200="Programación")*((($M$3:$M$200=$A39)+($N$3:$N$200=$A39)+($O$3:$O$200=$A39)+($P$3:$P$200=$A39)+($Q$3:$Q$200=$A39)+($R$3:$R$200=$A39)+($S$3:$S$200=$A39)+($T$3:$T$200=$A39)+($U$3:$U$200=$A39)+($V$3:$V$200=$A39)+($W$3:$W$200=$A39)+($X$3:$X$200=$A39)+($Y$3:$Y$200=$A39)+($Z$3:$Z$200=$A39)+($AA$3:$AA$200=$A39))&gt;0)),$L$3:$L$200),"PENDIENTE"))</f>
        <v>PENDIENTE</v>
      </c>
      <c r="D39" s="17" t="str" cm="1">
        <f t="array" ref="D39">IF($A39="","",IFERROR(LOOKUP(2,1/(($K$3:$K$200="Prueba PCB")*((($M$3:$M$200=$A39)+($N$3:$N$200=$A39)+($O$3:$O$200=$A39)+($P$3:$P$200=$A39)+($Q$3:$Q$200=$A39)+($R$3:$R$200=$A39)+($S$3:$S$200=$A39)+($T$3:$T$200=$A39)+($U$3:$U$200=$A39)+($V$3:$V$200=$A39)+($W$3:$W$200=$A39)+($X$3:$X$200=$A39)+($Y$3:$Y$200=$A39)+($Z$3:$Z$200=$A39)+($AA$3:$AA$200=$A39))&gt;0)),$L$3:$L$200),"PENDIENTE"))</f>
        <v>PENDIENTE</v>
      </c>
      <c r="E39" s="17" t="str" cm="1">
        <f t="array" ref="E39">IF($A39="","",IFERROR(LOOKUP(2,1/(($K$3:$K$200="Integración")*((($M$3:$M$200=$A39)+($N$3:$N$200=$A39)+($O$3:$O$200=$A39)+($P$3:$P$200=$A39)+($Q$3:$Q$200=$A39)+($R$3:$R$200=$A39)+($S$3:$S$200=$A39)+($T$3:$T$200=$A39)+($U$3:$U$200=$A39)+($V$3:$V$200=$A39)+($W$3:$W$200=$A39)+($X$3:$X$200=$A39)+($Y$3:$Y$200=$A39)+($Z$3:$Z$200=$A39)+($AA$3:$AA$200=$A39))&gt;0)),$L$3:$L$200),"PENDIENTE"))</f>
        <v>PENDIENTE</v>
      </c>
      <c r="F39" s="17" t="str" cm="1">
        <f t="array" ref="F39">IF($A39="","",IFERROR(LOOKUP(2,1/(($K$3:$K$200="Prueba Final")*((($M$3:$M$200=$A39)+($N$3:$N$200=$A39)+($O$3:$O$200=$A39)+($P$3:$P$200=$A39)+($Q$3:$Q$200=$A39)+($R$3:$R$200=$A39)+($S$3:$S$200=$A39)+($T$3:$T$200=$A39)+($U$3:$U$200=$A39)+($V$3:$V$200=$A39)+($W$3:$W$200=$A39)+($X$3:$X$200=$A39)+($Y$3:$Y$200=$A39)+($Z$3:$Z$200=$A39)+($AA$3:$AA$200=$A39))&gt;0)),$L$3:$L$200),"PENDIENTE"))</f>
        <v>PENDIENTE</v>
      </c>
      <c r="G39" s="17" t="str">
        <f t="shared" si="1"/>
        <v>PENDIENTE</v>
      </c>
      <c r="H39" s="20"/>
      <c r="I39" s="20"/>
      <c r="J39" s="25"/>
      <c r="K39" s="26"/>
      <c r="L39" s="26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"/>
    </row>
    <row r="40" spans="1:28" ht="17.7" customHeight="1">
      <c r="A40" s="16" t="str">
        <f>IF(Producción!A40="","",Producción!A40)</f>
        <v>0052</v>
      </c>
      <c r="B40" s="17" t="str" cm="1">
        <f t="array" ref="B40">IF($A40="","",IFERROR(LOOKUP(2,1/(($K$3:$K$200="Soldadura")*((($M$3:$M$200=$A40)+($N$3:$N$200=$A40)+($O$3:$O$200=$A40)+($P$3:$P$200=$A40)+($Q$3:$Q$200=$A40)+($R$3:$R$200=$A40)+($S$3:$S$200=$A40)+($T$3:$T$200=$A40)+($U$3:$U$200=$A40)+($V$3:$V$200=$A40)+($W$3:$W$200=$A40)+($X$3:$X$200=$A40)+($Y$3:$Y$200=$A40)+($Z$3:$Z$200=$A40)+($AA$3:$AA$200=$A40))&gt;0)),$L$3:$L$200),"PENDIENTE"))</f>
        <v>PENDIENTE</v>
      </c>
      <c r="C40" s="17" t="str" cm="1">
        <f t="array" ref="C40">IF($A40="","",IFERROR(LOOKUP(2,1/(($K$3:$K$200="Programación")*((($M$3:$M$200=$A40)+($N$3:$N$200=$A40)+($O$3:$O$200=$A40)+($P$3:$P$200=$A40)+($Q$3:$Q$200=$A40)+($R$3:$R$200=$A40)+($S$3:$S$200=$A40)+($T$3:$T$200=$A40)+($U$3:$U$200=$A40)+($V$3:$V$200=$A40)+($W$3:$W$200=$A40)+($X$3:$X$200=$A40)+($Y$3:$Y$200=$A40)+($Z$3:$Z$200=$A40)+($AA$3:$AA$200=$A40))&gt;0)),$L$3:$L$200),"PENDIENTE"))</f>
        <v>PENDIENTE</v>
      </c>
      <c r="D40" s="17" t="str" cm="1">
        <f t="array" ref="D40">IF($A40="","",IFERROR(LOOKUP(2,1/(($K$3:$K$200="Prueba PCB")*((($M$3:$M$200=$A40)+($N$3:$N$200=$A40)+($O$3:$O$200=$A40)+($P$3:$P$200=$A40)+($Q$3:$Q$200=$A40)+($R$3:$R$200=$A40)+($S$3:$S$200=$A40)+($T$3:$T$200=$A40)+($U$3:$U$200=$A40)+($V$3:$V$200=$A40)+($W$3:$W$200=$A40)+($X$3:$X$200=$A40)+($Y$3:$Y$200=$A40)+($Z$3:$Z$200=$A40)+($AA$3:$AA$200=$A40))&gt;0)),$L$3:$L$200),"PENDIENTE"))</f>
        <v>PENDIENTE</v>
      </c>
      <c r="E40" s="17" t="str" cm="1">
        <f t="array" ref="E40">IF($A40="","",IFERROR(LOOKUP(2,1/(($K$3:$K$200="Integración")*((($M$3:$M$200=$A40)+($N$3:$N$200=$A40)+($O$3:$O$200=$A40)+($P$3:$P$200=$A40)+($Q$3:$Q$200=$A40)+($R$3:$R$200=$A40)+($S$3:$S$200=$A40)+($T$3:$T$200=$A40)+($U$3:$U$200=$A40)+($V$3:$V$200=$A40)+($W$3:$W$200=$A40)+($X$3:$X$200=$A40)+($Y$3:$Y$200=$A40)+($Z$3:$Z$200=$A40)+($AA$3:$AA$200=$A40))&gt;0)),$L$3:$L$200),"PENDIENTE"))</f>
        <v>PENDIENTE</v>
      </c>
      <c r="F40" s="17" t="str" cm="1">
        <f t="array" ref="F40">IF($A40="","",IFERROR(LOOKUP(2,1/(($K$3:$K$200="Prueba Final")*((($M$3:$M$200=$A40)+($N$3:$N$200=$A40)+($O$3:$O$200=$A40)+($P$3:$P$200=$A40)+($Q$3:$Q$200=$A40)+($R$3:$R$200=$A40)+($S$3:$S$200=$A40)+($T$3:$T$200=$A40)+($U$3:$U$200=$A40)+($V$3:$V$200=$A40)+($W$3:$W$200=$A40)+($X$3:$X$200=$A40)+($Y$3:$Y$200=$A40)+($Z$3:$Z$200=$A40)+($AA$3:$AA$200=$A40))&gt;0)),$L$3:$L$200),"PENDIENTE"))</f>
        <v>PENDIENTE</v>
      </c>
      <c r="G40" s="17" t="str">
        <f t="shared" si="1"/>
        <v>PENDIENTE</v>
      </c>
      <c r="H40" s="20"/>
      <c r="I40" s="20"/>
      <c r="J40" s="25"/>
      <c r="K40" s="26"/>
      <c r="L40" s="26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"/>
    </row>
    <row r="41" spans="1:28" ht="17.7" customHeight="1">
      <c r="A41" s="16" t="str">
        <f>IF(Producción!A41="","",Producción!A41)</f>
        <v>0053</v>
      </c>
      <c r="B41" s="17" t="str" cm="1">
        <f t="array" ref="B41">IF($A41="","",IFERROR(LOOKUP(2,1/(($K$3:$K$200="Soldadura")*((($M$3:$M$200=$A41)+($N$3:$N$200=$A41)+($O$3:$O$200=$A41)+($P$3:$P$200=$A41)+($Q$3:$Q$200=$A41)+($R$3:$R$200=$A41)+($S$3:$S$200=$A41)+($T$3:$T$200=$A41)+($U$3:$U$200=$A41)+($V$3:$V$200=$A41)+($W$3:$W$200=$A41)+($X$3:$X$200=$A41)+($Y$3:$Y$200=$A41)+($Z$3:$Z$200=$A41)+($AA$3:$AA$200=$A41))&gt;0)),$L$3:$L$200),"PENDIENTE"))</f>
        <v>PENDIENTE</v>
      </c>
      <c r="C41" s="17" t="str" cm="1">
        <f t="array" ref="C41">IF($A41="","",IFERROR(LOOKUP(2,1/(($K$3:$K$200="Programación")*((($M$3:$M$200=$A41)+($N$3:$N$200=$A41)+($O$3:$O$200=$A41)+($P$3:$P$200=$A41)+($Q$3:$Q$200=$A41)+($R$3:$R$200=$A41)+($S$3:$S$200=$A41)+($T$3:$T$200=$A41)+($U$3:$U$200=$A41)+($V$3:$V$200=$A41)+($W$3:$W$200=$A41)+($X$3:$X$200=$A41)+($Y$3:$Y$200=$A41)+($Z$3:$Z$200=$A41)+($AA$3:$AA$200=$A41))&gt;0)),$L$3:$L$200),"PENDIENTE"))</f>
        <v>PENDIENTE</v>
      </c>
      <c r="D41" s="17" t="str" cm="1">
        <f t="array" ref="D41">IF($A41="","",IFERROR(LOOKUP(2,1/(($K$3:$K$200="Prueba PCB")*((($M$3:$M$200=$A41)+($N$3:$N$200=$A41)+($O$3:$O$200=$A41)+($P$3:$P$200=$A41)+($Q$3:$Q$200=$A41)+($R$3:$R$200=$A41)+($S$3:$S$200=$A41)+($T$3:$T$200=$A41)+($U$3:$U$200=$A41)+($V$3:$V$200=$A41)+($W$3:$W$200=$A41)+($X$3:$X$200=$A41)+($Y$3:$Y$200=$A41)+($Z$3:$Z$200=$A41)+($AA$3:$AA$200=$A41))&gt;0)),$L$3:$L$200),"PENDIENTE"))</f>
        <v>PENDIENTE</v>
      </c>
      <c r="E41" s="17" t="str" cm="1">
        <f t="array" ref="E41">IF($A41="","",IFERROR(LOOKUP(2,1/(($K$3:$K$200="Integración")*((($M$3:$M$200=$A41)+($N$3:$N$200=$A41)+($O$3:$O$200=$A41)+($P$3:$P$200=$A41)+($Q$3:$Q$200=$A41)+($R$3:$R$200=$A41)+($S$3:$S$200=$A41)+($T$3:$T$200=$A41)+($U$3:$U$200=$A41)+($V$3:$V$200=$A41)+($W$3:$W$200=$A41)+($X$3:$X$200=$A41)+($Y$3:$Y$200=$A41)+($Z$3:$Z$200=$A41)+($AA$3:$AA$200=$A41))&gt;0)),$L$3:$L$200),"PENDIENTE"))</f>
        <v>PENDIENTE</v>
      </c>
      <c r="F41" s="17" t="str" cm="1">
        <f t="array" ref="F41">IF($A41="","",IFERROR(LOOKUP(2,1/(($K$3:$K$200="Prueba Final")*((($M$3:$M$200=$A41)+($N$3:$N$200=$A41)+($O$3:$O$200=$A41)+($P$3:$P$200=$A41)+($Q$3:$Q$200=$A41)+($R$3:$R$200=$A41)+($S$3:$S$200=$A41)+($T$3:$T$200=$A41)+($U$3:$U$200=$A41)+($V$3:$V$200=$A41)+($W$3:$W$200=$A41)+($X$3:$X$200=$A41)+($Y$3:$Y$200=$A41)+($Z$3:$Z$200=$A41)+($AA$3:$AA$200=$A41))&gt;0)),$L$3:$L$200),"PENDIENTE"))</f>
        <v>PENDIENTE</v>
      </c>
      <c r="G41" s="17" t="str">
        <f t="shared" si="1"/>
        <v>PENDIENTE</v>
      </c>
      <c r="H41" s="20"/>
      <c r="I41" s="20"/>
      <c r="J41" s="25"/>
      <c r="K41" s="26"/>
      <c r="L41" s="26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"/>
    </row>
    <row r="42" spans="1:28" ht="17.7" customHeight="1">
      <c r="A42" s="16" t="str">
        <f>IF(Producción!A42="","",Producción!A42)</f>
        <v>0054</v>
      </c>
      <c r="B42" s="17" t="str" cm="1">
        <f t="array" ref="B42">IF($A42="","",IFERROR(LOOKUP(2,1/(($K$3:$K$200="Soldadura")*((($M$3:$M$200=$A42)+($N$3:$N$200=$A42)+($O$3:$O$200=$A42)+($P$3:$P$200=$A42)+($Q$3:$Q$200=$A42)+($R$3:$R$200=$A42)+($S$3:$S$200=$A42)+($T$3:$T$200=$A42)+($U$3:$U$200=$A42)+($V$3:$V$200=$A42)+($W$3:$W$200=$A42)+($X$3:$X$200=$A42)+($Y$3:$Y$200=$A42)+($Z$3:$Z$200=$A42)+($AA$3:$AA$200=$A42))&gt;0)),$L$3:$L$200),"PENDIENTE"))</f>
        <v>PENDIENTE</v>
      </c>
      <c r="C42" s="17" t="str" cm="1">
        <f t="array" ref="C42">IF($A42="","",IFERROR(LOOKUP(2,1/(($K$3:$K$200="Programación")*((($M$3:$M$200=$A42)+($N$3:$N$200=$A42)+($O$3:$O$200=$A42)+($P$3:$P$200=$A42)+($Q$3:$Q$200=$A42)+($R$3:$R$200=$A42)+($S$3:$S$200=$A42)+($T$3:$T$200=$A42)+($U$3:$U$200=$A42)+($V$3:$V$200=$A42)+($W$3:$W$200=$A42)+($X$3:$X$200=$A42)+($Y$3:$Y$200=$A42)+($Z$3:$Z$200=$A42)+($AA$3:$AA$200=$A42))&gt;0)),$L$3:$L$200),"PENDIENTE"))</f>
        <v>PENDIENTE</v>
      </c>
      <c r="D42" s="17" t="str" cm="1">
        <f t="array" ref="D42">IF($A42="","",IFERROR(LOOKUP(2,1/(($K$3:$K$200="Prueba PCB")*((($M$3:$M$200=$A42)+($N$3:$N$200=$A42)+($O$3:$O$200=$A42)+($P$3:$P$200=$A42)+($Q$3:$Q$200=$A42)+($R$3:$R$200=$A42)+($S$3:$S$200=$A42)+($T$3:$T$200=$A42)+($U$3:$U$200=$A42)+($V$3:$V$200=$A42)+($W$3:$W$200=$A42)+($X$3:$X$200=$A42)+($Y$3:$Y$200=$A42)+($Z$3:$Z$200=$A42)+($AA$3:$AA$200=$A42))&gt;0)),$L$3:$L$200),"PENDIENTE"))</f>
        <v>PENDIENTE</v>
      </c>
      <c r="E42" s="17" t="str" cm="1">
        <f t="array" ref="E42">IF($A42="","",IFERROR(LOOKUP(2,1/(($K$3:$K$200="Integración")*((($M$3:$M$200=$A42)+($N$3:$N$200=$A42)+($O$3:$O$200=$A42)+($P$3:$P$200=$A42)+($Q$3:$Q$200=$A42)+($R$3:$R$200=$A42)+($S$3:$S$200=$A42)+($T$3:$T$200=$A42)+($U$3:$U$200=$A42)+($V$3:$V$200=$A42)+($W$3:$W$200=$A42)+($X$3:$X$200=$A42)+($Y$3:$Y$200=$A42)+($Z$3:$Z$200=$A42)+($AA$3:$AA$200=$A42))&gt;0)),$L$3:$L$200),"PENDIENTE"))</f>
        <v>PENDIENTE</v>
      </c>
      <c r="F42" s="17" t="str" cm="1">
        <f t="array" ref="F42">IF($A42="","",IFERROR(LOOKUP(2,1/(($K$3:$K$200="Prueba Final")*((($M$3:$M$200=$A42)+($N$3:$N$200=$A42)+($O$3:$O$200=$A42)+($P$3:$P$200=$A42)+($Q$3:$Q$200=$A42)+($R$3:$R$200=$A42)+($S$3:$S$200=$A42)+($T$3:$T$200=$A42)+($U$3:$U$200=$A42)+($V$3:$V$200=$A42)+($W$3:$W$200=$A42)+($X$3:$X$200=$A42)+($Y$3:$Y$200=$A42)+($Z$3:$Z$200=$A42)+($AA$3:$AA$200=$A42))&gt;0)),$L$3:$L$200),"PENDIENTE"))</f>
        <v>PENDIENTE</v>
      </c>
      <c r="G42" s="17" t="str">
        <f t="shared" si="1"/>
        <v>PENDIENTE</v>
      </c>
      <c r="H42" s="20"/>
      <c r="I42" s="20"/>
      <c r="J42" s="25"/>
      <c r="K42" s="26"/>
      <c r="L42" s="26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"/>
    </row>
    <row r="43" spans="1:28" ht="17.7" customHeight="1">
      <c r="A43" s="16" t="str">
        <f>IF(Producción!A43="","",Producción!A43)</f>
        <v>0055</v>
      </c>
      <c r="B43" s="17" t="str" cm="1">
        <f t="array" ref="B43">IF($A43="","",IFERROR(LOOKUP(2,1/(($K$3:$K$200="Soldadura")*((($M$3:$M$200=$A43)+($N$3:$N$200=$A43)+($O$3:$O$200=$A43)+($P$3:$P$200=$A43)+($Q$3:$Q$200=$A43)+($R$3:$R$200=$A43)+($S$3:$S$200=$A43)+($T$3:$T$200=$A43)+($U$3:$U$200=$A43)+($V$3:$V$200=$A43)+($W$3:$W$200=$A43)+($X$3:$X$200=$A43)+($Y$3:$Y$200=$A43)+($Z$3:$Z$200=$A43)+($AA$3:$AA$200=$A43))&gt;0)),$L$3:$L$200),"PENDIENTE"))</f>
        <v>PENDIENTE</v>
      </c>
      <c r="C43" s="17" t="str" cm="1">
        <f t="array" ref="C43">IF($A43="","",IFERROR(LOOKUP(2,1/(($K$3:$K$200="Programación")*((($M$3:$M$200=$A43)+($N$3:$N$200=$A43)+($O$3:$O$200=$A43)+($P$3:$P$200=$A43)+($Q$3:$Q$200=$A43)+($R$3:$R$200=$A43)+($S$3:$S$200=$A43)+($T$3:$T$200=$A43)+($U$3:$U$200=$A43)+($V$3:$V$200=$A43)+($W$3:$W$200=$A43)+($X$3:$X$200=$A43)+($Y$3:$Y$200=$A43)+($Z$3:$Z$200=$A43)+($AA$3:$AA$200=$A43))&gt;0)),$L$3:$L$200),"PENDIENTE"))</f>
        <v>PENDIENTE</v>
      </c>
      <c r="D43" s="17" t="str" cm="1">
        <f t="array" ref="D43">IF($A43="","",IFERROR(LOOKUP(2,1/(($K$3:$K$200="Prueba PCB")*((($M$3:$M$200=$A43)+($N$3:$N$200=$A43)+($O$3:$O$200=$A43)+($P$3:$P$200=$A43)+($Q$3:$Q$200=$A43)+($R$3:$R$200=$A43)+($S$3:$S$200=$A43)+($T$3:$T$200=$A43)+($U$3:$U$200=$A43)+($V$3:$V$200=$A43)+($W$3:$W$200=$A43)+($X$3:$X$200=$A43)+($Y$3:$Y$200=$A43)+($Z$3:$Z$200=$A43)+($AA$3:$AA$200=$A43))&gt;0)),$L$3:$L$200),"PENDIENTE"))</f>
        <v>PENDIENTE</v>
      </c>
      <c r="E43" s="17" t="str" cm="1">
        <f t="array" ref="E43">IF($A43="","",IFERROR(LOOKUP(2,1/(($K$3:$K$200="Integración")*((($M$3:$M$200=$A43)+($N$3:$N$200=$A43)+($O$3:$O$200=$A43)+($P$3:$P$200=$A43)+($Q$3:$Q$200=$A43)+($R$3:$R$200=$A43)+($S$3:$S$200=$A43)+($T$3:$T$200=$A43)+($U$3:$U$200=$A43)+($V$3:$V$200=$A43)+($W$3:$W$200=$A43)+($X$3:$X$200=$A43)+($Y$3:$Y$200=$A43)+($Z$3:$Z$200=$A43)+($AA$3:$AA$200=$A43))&gt;0)),$L$3:$L$200),"PENDIENTE"))</f>
        <v>PENDIENTE</v>
      </c>
      <c r="F43" s="17" t="str" cm="1">
        <f t="array" ref="F43">IF($A43="","",IFERROR(LOOKUP(2,1/(($K$3:$K$200="Prueba Final")*((($M$3:$M$200=$A43)+($N$3:$N$200=$A43)+($O$3:$O$200=$A43)+($P$3:$P$200=$A43)+($Q$3:$Q$200=$A43)+($R$3:$R$200=$A43)+($S$3:$S$200=$A43)+($T$3:$T$200=$A43)+($U$3:$U$200=$A43)+($V$3:$V$200=$A43)+($W$3:$W$200=$A43)+($X$3:$X$200=$A43)+($Y$3:$Y$200=$A43)+($Z$3:$Z$200=$A43)+($AA$3:$AA$200=$A43))&gt;0)),$L$3:$L$200),"PENDIENTE"))</f>
        <v>PENDIENTE</v>
      </c>
      <c r="G43" s="17" t="str">
        <f t="shared" si="1"/>
        <v>PENDIENTE</v>
      </c>
      <c r="H43" s="20"/>
      <c r="I43" s="20"/>
      <c r="J43" s="25"/>
      <c r="K43" s="26"/>
      <c r="L43" s="26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"/>
    </row>
    <row r="44" spans="1:28" ht="17.7" customHeight="1">
      <c r="A44" s="16" t="str">
        <f>IF(Producción!A44="","",Producción!A44)</f>
        <v>0056</v>
      </c>
      <c r="B44" s="17" t="str" cm="1">
        <f t="array" ref="B44">IF($A44="","",IFERROR(LOOKUP(2,1/(($K$3:$K$200="Soldadura")*((($M$3:$M$200=$A44)+($N$3:$N$200=$A44)+($O$3:$O$200=$A44)+($P$3:$P$200=$A44)+($Q$3:$Q$200=$A44)+($R$3:$R$200=$A44)+($S$3:$S$200=$A44)+($T$3:$T$200=$A44)+($U$3:$U$200=$A44)+($V$3:$V$200=$A44)+($W$3:$W$200=$A44)+($X$3:$X$200=$A44)+($Y$3:$Y$200=$A44)+($Z$3:$Z$200=$A44)+($AA$3:$AA$200=$A44))&gt;0)),$L$3:$L$200),"PENDIENTE"))</f>
        <v>PENDIENTE</v>
      </c>
      <c r="C44" s="17" t="str" cm="1">
        <f t="array" ref="C44">IF($A44="","",IFERROR(LOOKUP(2,1/(($K$3:$K$200="Programación")*((($M$3:$M$200=$A44)+($N$3:$N$200=$A44)+($O$3:$O$200=$A44)+($P$3:$P$200=$A44)+($Q$3:$Q$200=$A44)+($R$3:$R$200=$A44)+($S$3:$S$200=$A44)+($T$3:$T$200=$A44)+($U$3:$U$200=$A44)+($V$3:$V$200=$A44)+($W$3:$W$200=$A44)+($X$3:$X$200=$A44)+($Y$3:$Y$200=$A44)+($Z$3:$Z$200=$A44)+($AA$3:$AA$200=$A44))&gt;0)),$L$3:$L$200),"PENDIENTE"))</f>
        <v>PENDIENTE</v>
      </c>
      <c r="D44" s="17" t="str" cm="1">
        <f t="array" ref="D44">IF($A44="","",IFERROR(LOOKUP(2,1/(($K$3:$K$200="Prueba PCB")*((($M$3:$M$200=$A44)+($N$3:$N$200=$A44)+($O$3:$O$200=$A44)+($P$3:$P$200=$A44)+($Q$3:$Q$200=$A44)+($R$3:$R$200=$A44)+($S$3:$S$200=$A44)+($T$3:$T$200=$A44)+($U$3:$U$200=$A44)+($V$3:$V$200=$A44)+($W$3:$W$200=$A44)+($X$3:$X$200=$A44)+($Y$3:$Y$200=$A44)+($Z$3:$Z$200=$A44)+($AA$3:$AA$200=$A44))&gt;0)),$L$3:$L$200),"PENDIENTE"))</f>
        <v>PENDIENTE</v>
      </c>
      <c r="E44" s="17" t="str" cm="1">
        <f t="array" ref="E44">IF($A44="","",IFERROR(LOOKUP(2,1/(($K$3:$K$200="Integración")*((($M$3:$M$200=$A44)+($N$3:$N$200=$A44)+($O$3:$O$200=$A44)+($P$3:$P$200=$A44)+($Q$3:$Q$200=$A44)+($R$3:$R$200=$A44)+($S$3:$S$200=$A44)+($T$3:$T$200=$A44)+($U$3:$U$200=$A44)+($V$3:$V$200=$A44)+($W$3:$W$200=$A44)+($X$3:$X$200=$A44)+($Y$3:$Y$200=$A44)+($Z$3:$Z$200=$A44)+($AA$3:$AA$200=$A44))&gt;0)),$L$3:$L$200),"PENDIENTE"))</f>
        <v>PENDIENTE</v>
      </c>
      <c r="F44" s="17" t="str" cm="1">
        <f t="array" ref="F44">IF($A44="","",IFERROR(LOOKUP(2,1/(($K$3:$K$200="Prueba Final")*((($M$3:$M$200=$A44)+($N$3:$N$200=$A44)+($O$3:$O$200=$A44)+($P$3:$P$200=$A44)+($Q$3:$Q$200=$A44)+($R$3:$R$200=$A44)+($S$3:$S$200=$A44)+($T$3:$T$200=$A44)+($U$3:$U$200=$A44)+($V$3:$V$200=$A44)+($W$3:$W$200=$A44)+($X$3:$X$200=$A44)+($Y$3:$Y$200=$A44)+($Z$3:$Z$200=$A44)+($AA$3:$AA$200=$A44))&gt;0)),$L$3:$L$200),"PENDIENTE"))</f>
        <v>PENDIENTE</v>
      </c>
      <c r="G44" s="17" t="str">
        <f t="shared" si="1"/>
        <v>PENDIENTE</v>
      </c>
      <c r="H44" s="20"/>
      <c r="I44" s="20"/>
      <c r="J44" s="25"/>
      <c r="K44" s="26"/>
      <c r="L44" s="26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"/>
    </row>
    <row r="45" spans="1:28" ht="17.7" customHeight="1">
      <c r="A45" s="16" t="str">
        <f>IF(Producción!A45="","",Producción!A45)</f>
        <v>0057</v>
      </c>
      <c r="B45" s="17" t="str" cm="1">
        <f t="array" ref="B45">IF($A45="","",IFERROR(LOOKUP(2,1/(($K$3:$K$200="Soldadura")*((($M$3:$M$200=$A45)+($N$3:$N$200=$A45)+($O$3:$O$200=$A45)+($P$3:$P$200=$A45)+($Q$3:$Q$200=$A45)+($R$3:$R$200=$A45)+($S$3:$S$200=$A45)+($T$3:$T$200=$A45)+($U$3:$U$200=$A45)+($V$3:$V$200=$A45)+($W$3:$W$200=$A45)+($X$3:$X$200=$A45)+($Y$3:$Y$200=$A45)+($Z$3:$Z$200=$A45)+($AA$3:$AA$200=$A45))&gt;0)),$L$3:$L$200),"PENDIENTE"))</f>
        <v>PENDIENTE</v>
      </c>
      <c r="C45" s="17" t="str" cm="1">
        <f t="array" ref="C45">IF($A45="","",IFERROR(LOOKUP(2,1/(($K$3:$K$200="Programación")*((($M$3:$M$200=$A45)+($N$3:$N$200=$A45)+($O$3:$O$200=$A45)+($P$3:$P$200=$A45)+($Q$3:$Q$200=$A45)+($R$3:$R$200=$A45)+($S$3:$S$200=$A45)+($T$3:$T$200=$A45)+($U$3:$U$200=$A45)+($V$3:$V$200=$A45)+($W$3:$W$200=$A45)+($X$3:$X$200=$A45)+($Y$3:$Y$200=$A45)+($Z$3:$Z$200=$A45)+($AA$3:$AA$200=$A45))&gt;0)),$L$3:$L$200),"PENDIENTE"))</f>
        <v>PENDIENTE</v>
      </c>
      <c r="D45" s="17" t="str" cm="1">
        <f t="array" ref="D45">IF($A45="","",IFERROR(LOOKUP(2,1/(($K$3:$K$200="Prueba PCB")*((($M$3:$M$200=$A45)+($N$3:$N$200=$A45)+($O$3:$O$200=$A45)+($P$3:$P$200=$A45)+($Q$3:$Q$200=$A45)+($R$3:$R$200=$A45)+($S$3:$S$200=$A45)+($T$3:$T$200=$A45)+($U$3:$U$200=$A45)+($V$3:$V$200=$A45)+($W$3:$W$200=$A45)+($X$3:$X$200=$A45)+($Y$3:$Y$200=$A45)+($Z$3:$Z$200=$A45)+($AA$3:$AA$200=$A45))&gt;0)),$L$3:$L$200),"PENDIENTE"))</f>
        <v>PENDIENTE</v>
      </c>
      <c r="E45" s="17" t="str" cm="1">
        <f t="array" ref="E45">IF($A45="","",IFERROR(LOOKUP(2,1/(($K$3:$K$200="Integración")*((($M$3:$M$200=$A45)+($N$3:$N$200=$A45)+($O$3:$O$200=$A45)+($P$3:$P$200=$A45)+($Q$3:$Q$200=$A45)+($R$3:$R$200=$A45)+($S$3:$S$200=$A45)+($T$3:$T$200=$A45)+($U$3:$U$200=$A45)+($V$3:$V$200=$A45)+($W$3:$W$200=$A45)+($X$3:$X$200=$A45)+($Y$3:$Y$200=$A45)+($Z$3:$Z$200=$A45)+($AA$3:$AA$200=$A45))&gt;0)),$L$3:$L$200),"PENDIENTE"))</f>
        <v>PENDIENTE</v>
      </c>
      <c r="F45" s="17" t="str" cm="1">
        <f t="array" ref="F45">IF($A45="","",IFERROR(LOOKUP(2,1/(($K$3:$K$200="Prueba Final")*((($M$3:$M$200=$A45)+($N$3:$N$200=$A45)+($O$3:$O$200=$A45)+($P$3:$P$200=$A45)+($Q$3:$Q$200=$A45)+($R$3:$R$200=$A45)+($S$3:$S$200=$A45)+($T$3:$T$200=$A45)+($U$3:$U$200=$A45)+($V$3:$V$200=$A45)+($W$3:$W$200=$A45)+($X$3:$X$200=$A45)+($Y$3:$Y$200=$A45)+($Z$3:$Z$200=$A45)+($AA$3:$AA$200=$A45))&gt;0)),$L$3:$L$200),"PENDIENTE"))</f>
        <v>PENDIENTE</v>
      </c>
      <c r="G45" s="17" t="str">
        <f t="shared" si="1"/>
        <v>PENDIENTE</v>
      </c>
      <c r="H45" s="20"/>
      <c r="I45" s="20"/>
      <c r="J45" s="25"/>
      <c r="K45" s="26"/>
      <c r="L45" s="26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"/>
    </row>
    <row r="46" spans="1:28" ht="17.7" customHeight="1">
      <c r="A46" s="16" t="str">
        <f>IF(Producción!A46="","",Producción!A46)</f>
        <v>0058</v>
      </c>
      <c r="B46" s="17" t="str" cm="1">
        <f t="array" ref="B46">IF($A46="","",IFERROR(LOOKUP(2,1/(($K$3:$K$200="Soldadura")*((($M$3:$M$200=$A46)+($N$3:$N$200=$A46)+($O$3:$O$200=$A46)+($P$3:$P$200=$A46)+($Q$3:$Q$200=$A46)+($R$3:$R$200=$A46)+($S$3:$S$200=$A46)+($T$3:$T$200=$A46)+($U$3:$U$200=$A46)+($V$3:$V$200=$A46)+($W$3:$W$200=$A46)+($X$3:$X$200=$A46)+($Y$3:$Y$200=$A46)+($Z$3:$Z$200=$A46)+($AA$3:$AA$200=$A46))&gt;0)),$L$3:$L$200),"PENDIENTE"))</f>
        <v>PENDIENTE</v>
      </c>
      <c r="C46" s="17" t="str" cm="1">
        <f t="array" ref="C46">IF($A46="","",IFERROR(LOOKUP(2,1/(($K$3:$K$200="Programación")*((($M$3:$M$200=$A46)+($N$3:$N$200=$A46)+($O$3:$O$200=$A46)+($P$3:$P$200=$A46)+($Q$3:$Q$200=$A46)+($R$3:$R$200=$A46)+($S$3:$S$200=$A46)+($T$3:$T$200=$A46)+($U$3:$U$200=$A46)+($V$3:$V$200=$A46)+($W$3:$W$200=$A46)+($X$3:$X$200=$A46)+($Y$3:$Y$200=$A46)+($Z$3:$Z$200=$A46)+($AA$3:$AA$200=$A46))&gt;0)),$L$3:$L$200),"PENDIENTE"))</f>
        <v>PENDIENTE</v>
      </c>
      <c r="D46" s="17" t="str" cm="1">
        <f t="array" ref="D46">IF($A46="","",IFERROR(LOOKUP(2,1/(($K$3:$K$200="Prueba PCB")*((($M$3:$M$200=$A46)+($N$3:$N$200=$A46)+($O$3:$O$200=$A46)+($P$3:$P$200=$A46)+($Q$3:$Q$200=$A46)+($R$3:$R$200=$A46)+($S$3:$S$200=$A46)+($T$3:$T$200=$A46)+($U$3:$U$200=$A46)+($V$3:$V$200=$A46)+($W$3:$W$200=$A46)+($X$3:$X$200=$A46)+($Y$3:$Y$200=$A46)+($Z$3:$Z$200=$A46)+($AA$3:$AA$200=$A46))&gt;0)),$L$3:$L$200),"PENDIENTE"))</f>
        <v>PENDIENTE</v>
      </c>
      <c r="E46" s="17" t="str" cm="1">
        <f t="array" ref="E46">IF($A46="","",IFERROR(LOOKUP(2,1/(($K$3:$K$200="Integración")*((($M$3:$M$200=$A46)+($N$3:$N$200=$A46)+($O$3:$O$200=$A46)+($P$3:$P$200=$A46)+($Q$3:$Q$200=$A46)+($R$3:$R$200=$A46)+($S$3:$S$200=$A46)+($T$3:$T$200=$A46)+($U$3:$U$200=$A46)+($V$3:$V$200=$A46)+($W$3:$W$200=$A46)+($X$3:$X$200=$A46)+($Y$3:$Y$200=$A46)+($Z$3:$Z$200=$A46)+($AA$3:$AA$200=$A46))&gt;0)),$L$3:$L$200),"PENDIENTE"))</f>
        <v>PENDIENTE</v>
      </c>
      <c r="F46" s="17" t="str" cm="1">
        <f t="array" ref="F46">IF($A46="","",IFERROR(LOOKUP(2,1/(($K$3:$K$200="Prueba Final")*((($M$3:$M$200=$A46)+($N$3:$N$200=$A46)+($O$3:$O$200=$A46)+($P$3:$P$200=$A46)+($Q$3:$Q$200=$A46)+($R$3:$R$200=$A46)+($S$3:$S$200=$A46)+($T$3:$T$200=$A46)+($U$3:$U$200=$A46)+($V$3:$V$200=$A46)+($W$3:$W$200=$A46)+($X$3:$X$200=$A46)+($Y$3:$Y$200=$A46)+($Z$3:$Z$200=$A46)+($AA$3:$AA$200=$A46))&gt;0)),$L$3:$L$200),"PENDIENTE"))</f>
        <v>PENDIENTE</v>
      </c>
      <c r="G46" s="17" t="str">
        <f t="shared" si="1"/>
        <v>PENDIENTE</v>
      </c>
      <c r="H46" s="20"/>
      <c r="I46" s="20"/>
      <c r="J46" s="25"/>
      <c r="K46" s="26"/>
      <c r="L46" s="26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"/>
    </row>
    <row r="47" spans="1:28" ht="17.7" customHeight="1">
      <c r="A47" s="16" t="str">
        <f>IF(Producción!A47="","",Producción!A47)</f>
        <v>0059</v>
      </c>
      <c r="B47" s="17" t="str" cm="1">
        <f t="array" ref="B47">IF($A47="","",IFERROR(LOOKUP(2,1/(($K$3:$K$200="Soldadura")*((($M$3:$M$200=$A47)+($N$3:$N$200=$A47)+($O$3:$O$200=$A47)+($P$3:$P$200=$A47)+($Q$3:$Q$200=$A47)+($R$3:$R$200=$A47)+($S$3:$S$200=$A47)+($T$3:$T$200=$A47)+($U$3:$U$200=$A47)+($V$3:$V$200=$A47)+($W$3:$W$200=$A47)+($X$3:$X$200=$A47)+($Y$3:$Y$200=$A47)+($Z$3:$Z$200=$A47)+($AA$3:$AA$200=$A47))&gt;0)),$L$3:$L$200),"PENDIENTE"))</f>
        <v>PENDIENTE</v>
      </c>
      <c r="C47" s="17" t="str" cm="1">
        <f t="array" ref="C47">IF($A47="","",IFERROR(LOOKUP(2,1/(($K$3:$K$200="Programación")*((($M$3:$M$200=$A47)+($N$3:$N$200=$A47)+($O$3:$O$200=$A47)+($P$3:$P$200=$A47)+($Q$3:$Q$200=$A47)+($R$3:$R$200=$A47)+($S$3:$S$200=$A47)+($T$3:$T$200=$A47)+($U$3:$U$200=$A47)+($V$3:$V$200=$A47)+($W$3:$W$200=$A47)+($X$3:$X$200=$A47)+($Y$3:$Y$200=$A47)+($Z$3:$Z$200=$A47)+($AA$3:$AA$200=$A47))&gt;0)),$L$3:$L$200),"PENDIENTE"))</f>
        <v>PENDIENTE</v>
      </c>
      <c r="D47" s="17" t="str" cm="1">
        <f t="array" ref="D47">IF($A47="","",IFERROR(LOOKUP(2,1/(($K$3:$K$200="Prueba PCB")*((($M$3:$M$200=$A47)+($N$3:$N$200=$A47)+($O$3:$O$200=$A47)+($P$3:$P$200=$A47)+($Q$3:$Q$200=$A47)+($R$3:$R$200=$A47)+($S$3:$S$200=$A47)+($T$3:$T$200=$A47)+($U$3:$U$200=$A47)+($V$3:$V$200=$A47)+($W$3:$W$200=$A47)+($X$3:$X$200=$A47)+($Y$3:$Y$200=$A47)+($Z$3:$Z$200=$A47)+($AA$3:$AA$200=$A47))&gt;0)),$L$3:$L$200),"PENDIENTE"))</f>
        <v>PENDIENTE</v>
      </c>
      <c r="E47" s="17" t="str" cm="1">
        <f t="array" ref="E47">IF($A47="","",IFERROR(LOOKUP(2,1/(($K$3:$K$200="Integración")*((($M$3:$M$200=$A47)+($N$3:$N$200=$A47)+($O$3:$O$200=$A47)+($P$3:$P$200=$A47)+($Q$3:$Q$200=$A47)+($R$3:$R$200=$A47)+($S$3:$S$200=$A47)+($T$3:$T$200=$A47)+($U$3:$U$200=$A47)+($V$3:$V$200=$A47)+($W$3:$W$200=$A47)+($X$3:$X$200=$A47)+($Y$3:$Y$200=$A47)+($Z$3:$Z$200=$A47)+($AA$3:$AA$200=$A47))&gt;0)),$L$3:$L$200),"PENDIENTE"))</f>
        <v>PENDIENTE</v>
      </c>
      <c r="F47" s="17" t="str" cm="1">
        <f t="array" ref="F47">IF($A47="","",IFERROR(LOOKUP(2,1/(($K$3:$K$200="Prueba Final")*((($M$3:$M$200=$A47)+($N$3:$N$200=$A47)+($O$3:$O$200=$A47)+($P$3:$P$200=$A47)+($Q$3:$Q$200=$A47)+($R$3:$R$200=$A47)+($S$3:$S$200=$A47)+($T$3:$T$200=$A47)+($U$3:$U$200=$A47)+($V$3:$V$200=$A47)+($W$3:$W$200=$A47)+($X$3:$X$200=$A47)+($Y$3:$Y$200=$A47)+($Z$3:$Z$200=$A47)+($AA$3:$AA$200=$A47))&gt;0)),$L$3:$L$200),"PENDIENTE"))</f>
        <v>PENDIENTE</v>
      </c>
      <c r="G47" s="17" t="str">
        <f t="shared" si="1"/>
        <v>PENDIENTE</v>
      </c>
      <c r="H47" s="20"/>
      <c r="I47" s="20"/>
      <c r="J47" s="25"/>
      <c r="K47" s="26"/>
      <c r="L47" s="26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"/>
    </row>
    <row r="48" spans="1:28" ht="17.7" customHeight="1">
      <c r="A48" s="16" t="str">
        <f>IF(Producción!A48="","",Producción!A48)</f>
        <v>0060</v>
      </c>
      <c r="B48" s="17" t="str" cm="1">
        <f t="array" ref="B48">IF($A48="","",IFERROR(LOOKUP(2,1/(($K$3:$K$200="Soldadura")*((($M$3:$M$200=$A48)+($N$3:$N$200=$A48)+($O$3:$O$200=$A48)+($P$3:$P$200=$A48)+($Q$3:$Q$200=$A48)+($R$3:$R$200=$A48)+($S$3:$S$200=$A48)+($T$3:$T$200=$A48)+($U$3:$U$200=$A48)+($V$3:$V$200=$A48)+($W$3:$W$200=$A48)+($X$3:$X$200=$A48)+($Y$3:$Y$200=$A48)+($Z$3:$Z$200=$A48)+($AA$3:$AA$200=$A48))&gt;0)),$L$3:$L$200),"PENDIENTE"))</f>
        <v>PENDIENTE</v>
      </c>
      <c r="C48" s="17" t="str" cm="1">
        <f t="array" ref="C48">IF($A48="","",IFERROR(LOOKUP(2,1/(($K$3:$K$200="Programación")*((($M$3:$M$200=$A48)+($N$3:$N$200=$A48)+($O$3:$O$200=$A48)+($P$3:$P$200=$A48)+($Q$3:$Q$200=$A48)+($R$3:$R$200=$A48)+($S$3:$S$200=$A48)+($T$3:$T$200=$A48)+($U$3:$U$200=$A48)+($V$3:$V$200=$A48)+($W$3:$W$200=$A48)+($X$3:$X$200=$A48)+($Y$3:$Y$200=$A48)+($Z$3:$Z$200=$A48)+($AA$3:$AA$200=$A48))&gt;0)),$L$3:$L$200),"PENDIENTE"))</f>
        <v>PENDIENTE</v>
      </c>
      <c r="D48" s="17" t="str" cm="1">
        <f t="array" ref="D48">IF($A48="","",IFERROR(LOOKUP(2,1/(($K$3:$K$200="Prueba PCB")*((($M$3:$M$200=$A48)+($N$3:$N$200=$A48)+($O$3:$O$200=$A48)+($P$3:$P$200=$A48)+($Q$3:$Q$200=$A48)+($R$3:$R$200=$A48)+($S$3:$S$200=$A48)+($T$3:$T$200=$A48)+($U$3:$U$200=$A48)+($V$3:$V$200=$A48)+($W$3:$W$200=$A48)+($X$3:$X$200=$A48)+($Y$3:$Y$200=$A48)+($Z$3:$Z$200=$A48)+($AA$3:$AA$200=$A48))&gt;0)),$L$3:$L$200),"PENDIENTE"))</f>
        <v>PENDIENTE</v>
      </c>
      <c r="E48" s="17" t="str" cm="1">
        <f t="array" ref="E48">IF($A48="","",IFERROR(LOOKUP(2,1/(($K$3:$K$200="Integración")*((($M$3:$M$200=$A48)+($N$3:$N$200=$A48)+($O$3:$O$200=$A48)+($P$3:$P$200=$A48)+($Q$3:$Q$200=$A48)+($R$3:$R$200=$A48)+($S$3:$S$200=$A48)+($T$3:$T$200=$A48)+($U$3:$U$200=$A48)+($V$3:$V$200=$A48)+($W$3:$W$200=$A48)+($X$3:$X$200=$A48)+($Y$3:$Y$200=$A48)+($Z$3:$Z$200=$A48)+($AA$3:$AA$200=$A48))&gt;0)),$L$3:$L$200),"PENDIENTE"))</f>
        <v>PENDIENTE</v>
      </c>
      <c r="F48" s="17" t="str" cm="1">
        <f t="array" ref="F48">IF($A48="","",IFERROR(LOOKUP(2,1/(($K$3:$K$200="Prueba Final")*((($M$3:$M$200=$A48)+($N$3:$N$200=$A48)+($O$3:$O$200=$A48)+($P$3:$P$200=$A48)+($Q$3:$Q$200=$A48)+($R$3:$R$200=$A48)+($S$3:$S$200=$A48)+($T$3:$T$200=$A48)+($U$3:$U$200=$A48)+($V$3:$V$200=$A48)+($W$3:$W$200=$A48)+($X$3:$X$200=$A48)+($Y$3:$Y$200=$A48)+($Z$3:$Z$200=$A48)+($AA$3:$AA$200=$A48))&gt;0)),$L$3:$L$200),"PENDIENTE"))</f>
        <v>PENDIENTE</v>
      </c>
      <c r="G48" s="17" t="str">
        <f t="shared" si="1"/>
        <v>PENDIENTE</v>
      </c>
      <c r="H48" s="20"/>
      <c r="I48" s="20"/>
      <c r="J48" s="25"/>
      <c r="K48" s="26"/>
      <c r="L48" s="2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"/>
    </row>
    <row r="49" spans="1:28" ht="17.7" customHeight="1">
      <c r="A49" s="16" t="str">
        <f>IF(Producción!A49="","",Producción!A49)</f>
        <v>0061</v>
      </c>
      <c r="B49" s="17" t="str" cm="1">
        <f t="array" ref="B49">IF($A49="","",IFERROR(LOOKUP(2,1/(($K$3:$K$200="Soldadura")*((($M$3:$M$200=$A49)+($N$3:$N$200=$A49)+($O$3:$O$200=$A49)+($P$3:$P$200=$A49)+($Q$3:$Q$200=$A49)+($R$3:$R$200=$A49)+($S$3:$S$200=$A49)+($T$3:$T$200=$A49)+($U$3:$U$200=$A49)+($V$3:$V$200=$A49)+($W$3:$W$200=$A49)+($X$3:$X$200=$A49)+($Y$3:$Y$200=$A49)+($Z$3:$Z$200=$A49)+($AA$3:$AA$200=$A49))&gt;0)),$L$3:$L$200),"PENDIENTE"))</f>
        <v>PENDIENTE</v>
      </c>
      <c r="C49" s="17" t="str" cm="1">
        <f t="array" ref="C49">IF($A49="","",IFERROR(LOOKUP(2,1/(($K$3:$K$200="Programación")*((($M$3:$M$200=$A49)+($N$3:$N$200=$A49)+($O$3:$O$200=$A49)+($P$3:$P$200=$A49)+($Q$3:$Q$200=$A49)+($R$3:$R$200=$A49)+($S$3:$S$200=$A49)+($T$3:$T$200=$A49)+($U$3:$U$200=$A49)+($V$3:$V$200=$A49)+($W$3:$W$200=$A49)+($X$3:$X$200=$A49)+($Y$3:$Y$200=$A49)+($Z$3:$Z$200=$A49)+($AA$3:$AA$200=$A49))&gt;0)),$L$3:$L$200),"PENDIENTE"))</f>
        <v>PENDIENTE</v>
      </c>
      <c r="D49" s="17" t="str" cm="1">
        <f t="array" ref="D49">IF($A49="","",IFERROR(LOOKUP(2,1/(($K$3:$K$200="Prueba PCB")*((($M$3:$M$200=$A49)+($N$3:$N$200=$A49)+($O$3:$O$200=$A49)+($P$3:$P$200=$A49)+($Q$3:$Q$200=$A49)+($R$3:$R$200=$A49)+($S$3:$S$200=$A49)+($T$3:$T$200=$A49)+($U$3:$U$200=$A49)+($V$3:$V$200=$A49)+($W$3:$W$200=$A49)+($X$3:$X$200=$A49)+($Y$3:$Y$200=$A49)+($Z$3:$Z$200=$A49)+($AA$3:$AA$200=$A49))&gt;0)),$L$3:$L$200),"PENDIENTE"))</f>
        <v>PENDIENTE</v>
      </c>
      <c r="E49" s="17" t="str" cm="1">
        <f t="array" ref="E49">IF($A49="","",IFERROR(LOOKUP(2,1/(($K$3:$K$200="Integración")*((($M$3:$M$200=$A49)+($N$3:$N$200=$A49)+($O$3:$O$200=$A49)+($P$3:$P$200=$A49)+($Q$3:$Q$200=$A49)+($R$3:$R$200=$A49)+($S$3:$S$200=$A49)+($T$3:$T$200=$A49)+($U$3:$U$200=$A49)+($V$3:$V$200=$A49)+($W$3:$W$200=$A49)+($X$3:$X$200=$A49)+($Y$3:$Y$200=$A49)+($Z$3:$Z$200=$A49)+($AA$3:$AA$200=$A49))&gt;0)),$L$3:$L$200),"PENDIENTE"))</f>
        <v>PENDIENTE</v>
      </c>
      <c r="F49" s="17" t="str" cm="1">
        <f t="array" ref="F49">IF($A49="","",IFERROR(LOOKUP(2,1/(($K$3:$K$200="Prueba Final")*((($M$3:$M$200=$A49)+($N$3:$N$200=$A49)+($O$3:$O$200=$A49)+($P$3:$P$200=$A49)+($Q$3:$Q$200=$A49)+($R$3:$R$200=$A49)+($S$3:$S$200=$A49)+($T$3:$T$200=$A49)+($U$3:$U$200=$A49)+($V$3:$V$200=$A49)+($W$3:$W$200=$A49)+($X$3:$X$200=$A49)+($Y$3:$Y$200=$A49)+($Z$3:$Z$200=$A49)+($AA$3:$AA$200=$A49))&gt;0)),$L$3:$L$200),"PENDIENTE"))</f>
        <v>PENDIENTE</v>
      </c>
      <c r="G49" s="17" t="str">
        <f t="shared" si="1"/>
        <v>PENDIENTE</v>
      </c>
      <c r="H49" s="20"/>
      <c r="I49" s="20"/>
      <c r="J49" s="25"/>
      <c r="K49" s="26"/>
      <c r="L49" s="26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"/>
    </row>
    <row r="50" spans="1:28" ht="17.7" customHeight="1">
      <c r="A50" s="16" t="str">
        <f>IF(Producción!A50="","",Producción!A50)</f>
        <v>0062</v>
      </c>
      <c r="B50" s="17" t="str" cm="1">
        <f t="array" ref="B50">IF($A50="","",IFERROR(LOOKUP(2,1/(($K$3:$K$200="Soldadura")*((($M$3:$M$200=$A50)+($N$3:$N$200=$A50)+($O$3:$O$200=$A50)+($P$3:$P$200=$A50)+($Q$3:$Q$200=$A50)+($R$3:$R$200=$A50)+($S$3:$S$200=$A50)+($T$3:$T$200=$A50)+($U$3:$U$200=$A50)+($V$3:$V$200=$A50)+($W$3:$W$200=$A50)+($X$3:$X$200=$A50)+($Y$3:$Y$200=$A50)+($Z$3:$Z$200=$A50)+($AA$3:$AA$200=$A50))&gt;0)),$L$3:$L$200),"PENDIENTE"))</f>
        <v>PENDIENTE</v>
      </c>
      <c r="C50" s="17" t="str" cm="1">
        <f t="array" ref="C50">IF($A50="","",IFERROR(LOOKUP(2,1/(($K$3:$K$200="Programación")*((($M$3:$M$200=$A50)+($N$3:$N$200=$A50)+($O$3:$O$200=$A50)+($P$3:$P$200=$A50)+($Q$3:$Q$200=$A50)+($R$3:$R$200=$A50)+($S$3:$S$200=$A50)+($T$3:$T$200=$A50)+($U$3:$U$200=$A50)+($V$3:$V$200=$A50)+($W$3:$W$200=$A50)+($X$3:$X$200=$A50)+($Y$3:$Y$200=$A50)+($Z$3:$Z$200=$A50)+($AA$3:$AA$200=$A50))&gt;0)),$L$3:$L$200),"PENDIENTE"))</f>
        <v>PENDIENTE</v>
      </c>
      <c r="D50" s="17" t="str" cm="1">
        <f t="array" ref="D50">IF($A50="","",IFERROR(LOOKUP(2,1/(($K$3:$K$200="Prueba PCB")*((($M$3:$M$200=$A50)+($N$3:$N$200=$A50)+($O$3:$O$200=$A50)+($P$3:$P$200=$A50)+($Q$3:$Q$200=$A50)+($R$3:$R$200=$A50)+($S$3:$S$200=$A50)+($T$3:$T$200=$A50)+($U$3:$U$200=$A50)+($V$3:$V$200=$A50)+($W$3:$W$200=$A50)+($X$3:$X$200=$A50)+($Y$3:$Y$200=$A50)+($Z$3:$Z$200=$A50)+($AA$3:$AA$200=$A50))&gt;0)),$L$3:$L$200),"PENDIENTE"))</f>
        <v>PENDIENTE</v>
      </c>
      <c r="E50" s="17" t="str" cm="1">
        <f t="array" ref="E50">IF($A50="","",IFERROR(LOOKUP(2,1/(($K$3:$K$200="Integración")*((($M$3:$M$200=$A50)+($N$3:$N$200=$A50)+($O$3:$O$200=$A50)+($P$3:$P$200=$A50)+($Q$3:$Q$200=$A50)+($R$3:$R$200=$A50)+($S$3:$S$200=$A50)+($T$3:$T$200=$A50)+($U$3:$U$200=$A50)+($V$3:$V$200=$A50)+($W$3:$W$200=$A50)+($X$3:$X$200=$A50)+($Y$3:$Y$200=$A50)+($Z$3:$Z$200=$A50)+($AA$3:$AA$200=$A50))&gt;0)),$L$3:$L$200),"PENDIENTE"))</f>
        <v>PENDIENTE</v>
      </c>
      <c r="F50" s="17" t="str" cm="1">
        <f t="array" ref="F50">IF($A50="","",IFERROR(LOOKUP(2,1/(($K$3:$K$200="Prueba Final")*((($M$3:$M$200=$A50)+($N$3:$N$200=$A50)+($O$3:$O$200=$A50)+($P$3:$P$200=$A50)+($Q$3:$Q$200=$A50)+($R$3:$R$200=$A50)+($S$3:$S$200=$A50)+($T$3:$T$200=$A50)+($U$3:$U$200=$A50)+($V$3:$V$200=$A50)+($W$3:$W$200=$A50)+($X$3:$X$200=$A50)+($Y$3:$Y$200=$A50)+($Z$3:$Z$200=$A50)+($AA$3:$AA$200=$A50))&gt;0)),$L$3:$L$200),"PENDIENTE"))</f>
        <v>PENDIENTE</v>
      </c>
      <c r="G50" s="17" t="str">
        <f t="shared" si="1"/>
        <v>PENDIENTE</v>
      </c>
      <c r="H50" s="20"/>
      <c r="I50" s="20"/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"/>
    </row>
    <row r="51" spans="1:28" ht="17.7" customHeight="1">
      <c r="A51" s="16" t="str">
        <f>IF(Producción!A51="","",Producción!A51)</f>
        <v>0063</v>
      </c>
      <c r="B51" s="17" t="str" cm="1">
        <f t="array" ref="B51">IF($A51="","",IFERROR(LOOKUP(2,1/(($K$3:$K$200="Soldadura")*((($M$3:$M$200=$A51)+($N$3:$N$200=$A51)+($O$3:$O$200=$A51)+($P$3:$P$200=$A51)+($Q$3:$Q$200=$A51)+($R$3:$R$200=$A51)+($S$3:$S$200=$A51)+($T$3:$T$200=$A51)+($U$3:$U$200=$A51)+($V$3:$V$200=$A51)+($W$3:$W$200=$A51)+($X$3:$X$200=$A51)+($Y$3:$Y$200=$A51)+($Z$3:$Z$200=$A51)+($AA$3:$AA$200=$A51))&gt;0)),$L$3:$L$200),"PENDIENTE"))</f>
        <v>PENDIENTE</v>
      </c>
      <c r="C51" s="17" t="str" cm="1">
        <f t="array" ref="C51">IF($A51="","",IFERROR(LOOKUP(2,1/(($K$3:$K$200="Programación")*((($M$3:$M$200=$A51)+($N$3:$N$200=$A51)+($O$3:$O$200=$A51)+($P$3:$P$200=$A51)+($Q$3:$Q$200=$A51)+($R$3:$R$200=$A51)+($S$3:$S$200=$A51)+($T$3:$T$200=$A51)+($U$3:$U$200=$A51)+($V$3:$V$200=$A51)+($W$3:$W$200=$A51)+($X$3:$X$200=$A51)+($Y$3:$Y$200=$A51)+($Z$3:$Z$200=$A51)+($AA$3:$AA$200=$A51))&gt;0)),$L$3:$L$200),"PENDIENTE"))</f>
        <v>PENDIENTE</v>
      </c>
      <c r="D51" s="17" t="str" cm="1">
        <f t="array" ref="D51">IF($A51="","",IFERROR(LOOKUP(2,1/(($K$3:$K$200="Prueba PCB")*((($M$3:$M$200=$A51)+($N$3:$N$200=$A51)+($O$3:$O$200=$A51)+($P$3:$P$200=$A51)+($Q$3:$Q$200=$A51)+($R$3:$R$200=$A51)+($S$3:$S$200=$A51)+($T$3:$T$200=$A51)+($U$3:$U$200=$A51)+($V$3:$V$200=$A51)+($W$3:$W$200=$A51)+($X$3:$X$200=$A51)+($Y$3:$Y$200=$A51)+($Z$3:$Z$200=$A51)+($AA$3:$AA$200=$A51))&gt;0)),$L$3:$L$200),"PENDIENTE"))</f>
        <v>PENDIENTE</v>
      </c>
      <c r="E51" s="17" t="str" cm="1">
        <f t="array" ref="E51">IF($A51="","",IFERROR(LOOKUP(2,1/(($K$3:$K$200="Integración")*((($M$3:$M$200=$A51)+($N$3:$N$200=$A51)+($O$3:$O$200=$A51)+($P$3:$P$200=$A51)+($Q$3:$Q$200=$A51)+($R$3:$R$200=$A51)+($S$3:$S$200=$A51)+($T$3:$T$200=$A51)+($U$3:$U$200=$A51)+($V$3:$V$200=$A51)+($W$3:$W$200=$A51)+($X$3:$X$200=$A51)+($Y$3:$Y$200=$A51)+($Z$3:$Z$200=$A51)+($AA$3:$AA$200=$A51))&gt;0)),$L$3:$L$200),"PENDIENTE"))</f>
        <v>PENDIENTE</v>
      </c>
      <c r="F51" s="17" t="str" cm="1">
        <f t="array" ref="F51">IF($A51="","",IFERROR(LOOKUP(2,1/(($K$3:$K$200="Prueba Final")*((($M$3:$M$200=$A51)+($N$3:$N$200=$A51)+($O$3:$O$200=$A51)+($P$3:$P$200=$A51)+($Q$3:$Q$200=$A51)+($R$3:$R$200=$A51)+($S$3:$S$200=$A51)+($T$3:$T$200=$A51)+($U$3:$U$200=$A51)+($V$3:$V$200=$A51)+($W$3:$W$200=$A51)+($X$3:$X$200=$A51)+($Y$3:$Y$200=$A51)+($Z$3:$Z$200=$A51)+($AA$3:$AA$200=$A51))&gt;0)),$L$3:$L$200),"PENDIENTE"))</f>
        <v>PENDIENTE</v>
      </c>
      <c r="G51" s="17" t="str">
        <f t="shared" si="1"/>
        <v>PENDIENTE</v>
      </c>
      <c r="H51" s="20"/>
      <c r="I51" s="20"/>
      <c r="J51" s="25"/>
      <c r="K51" s="26"/>
      <c r="L51" s="26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"/>
    </row>
    <row r="52" spans="1:28" ht="17.7" customHeight="1">
      <c r="A52" s="16" t="str">
        <f>IF(Producción!A52="","",Producción!A52)</f>
        <v>0064</v>
      </c>
      <c r="B52" s="17" t="str" cm="1">
        <f t="array" ref="B52">IF($A52="","",IFERROR(LOOKUP(2,1/(($K$3:$K$200="Soldadura")*((($M$3:$M$200=$A52)+($N$3:$N$200=$A52)+($O$3:$O$200=$A52)+($P$3:$P$200=$A52)+($Q$3:$Q$200=$A52)+($R$3:$R$200=$A52)+($S$3:$S$200=$A52)+($T$3:$T$200=$A52)+($U$3:$U$200=$A52)+($V$3:$V$200=$A52)+($W$3:$W$200=$A52)+($X$3:$X$200=$A52)+($Y$3:$Y$200=$A52)+($Z$3:$Z$200=$A52)+($AA$3:$AA$200=$A52))&gt;0)),$L$3:$L$200),"PENDIENTE"))</f>
        <v>PENDIENTE</v>
      </c>
      <c r="C52" s="17" t="str" cm="1">
        <f t="array" ref="C52">IF($A52="","",IFERROR(LOOKUP(2,1/(($K$3:$K$200="Programación")*((($M$3:$M$200=$A52)+($N$3:$N$200=$A52)+($O$3:$O$200=$A52)+($P$3:$P$200=$A52)+($Q$3:$Q$200=$A52)+($R$3:$R$200=$A52)+($S$3:$S$200=$A52)+($T$3:$T$200=$A52)+($U$3:$U$200=$A52)+($V$3:$V$200=$A52)+($W$3:$W$200=$A52)+($X$3:$X$200=$A52)+($Y$3:$Y$200=$A52)+($Z$3:$Z$200=$A52)+($AA$3:$AA$200=$A52))&gt;0)),$L$3:$L$200),"PENDIENTE"))</f>
        <v>PENDIENTE</v>
      </c>
      <c r="D52" s="17" t="str" cm="1">
        <f t="array" ref="D52">IF($A52="","",IFERROR(LOOKUP(2,1/(($K$3:$K$200="Prueba PCB")*((($M$3:$M$200=$A52)+($N$3:$N$200=$A52)+($O$3:$O$200=$A52)+($P$3:$P$200=$A52)+($Q$3:$Q$200=$A52)+($R$3:$R$200=$A52)+($S$3:$S$200=$A52)+($T$3:$T$200=$A52)+($U$3:$U$200=$A52)+($V$3:$V$200=$A52)+($W$3:$W$200=$A52)+($X$3:$X$200=$A52)+($Y$3:$Y$200=$A52)+($Z$3:$Z$200=$A52)+($AA$3:$AA$200=$A52))&gt;0)),$L$3:$L$200),"PENDIENTE"))</f>
        <v>PENDIENTE</v>
      </c>
      <c r="E52" s="17" t="str" cm="1">
        <f t="array" ref="E52">IF($A52="","",IFERROR(LOOKUP(2,1/(($K$3:$K$200="Integración")*((($M$3:$M$200=$A52)+($N$3:$N$200=$A52)+($O$3:$O$200=$A52)+($P$3:$P$200=$A52)+($Q$3:$Q$200=$A52)+($R$3:$R$200=$A52)+($S$3:$S$200=$A52)+($T$3:$T$200=$A52)+($U$3:$U$200=$A52)+($V$3:$V$200=$A52)+($W$3:$W$200=$A52)+($X$3:$X$200=$A52)+($Y$3:$Y$200=$A52)+($Z$3:$Z$200=$A52)+($AA$3:$AA$200=$A52))&gt;0)),$L$3:$L$200),"PENDIENTE"))</f>
        <v>PENDIENTE</v>
      </c>
      <c r="F52" s="17" t="str" cm="1">
        <f t="array" ref="F52">IF($A52="","",IFERROR(LOOKUP(2,1/(($K$3:$K$200="Prueba Final")*((($M$3:$M$200=$A52)+($N$3:$N$200=$A52)+($O$3:$O$200=$A52)+($P$3:$P$200=$A52)+($Q$3:$Q$200=$A52)+($R$3:$R$200=$A52)+($S$3:$S$200=$A52)+($T$3:$T$200=$A52)+($U$3:$U$200=$A52)+($V$3:$V$200=$A52)+($W$3:$W$200=$A52)+($X$3:$X$200=$A52)+($Y$3:$Y$200=$A52)+($Z$3:$Z$200=$A52)+($AA$3:$AA$200=$A52))&gt;0)),$L$3:$L$200),"PENDIENTE"))</f>
        <v>PENDIENTE</v>
      </c>
      <c r="G52" s="17" t="str">
        <f t="shared" si="1"/>
        <v>PENDIENTE</v>
      </c>
      <c r="H52" s="20"/>
      <c r="I52" s="20"/>
      <c r="J52" s="25"/>
      <c r="K52" s="26"/>
      <c r="L52" s="26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"/>
    </row>
    <row r="53" spans="1:28" ht="17.7" customHeight="1">
      <c r="A53" s="16" t="str">
        <f>IF(Producción!A53="","",Producción!A53)</f>
        <v>0065</v>
      </c>
      <c r="B53" s="17" t="str" cm="1">
        <f t="array" ref="B53">IF($A53="","",IFERROR(LOOKUP(2,1/(($K$3:$K$200="Soldadura")*((($M$3:$M$200=$A53)+($N$3:$N$200=$A53)+($O$3:$O$200=$A53)+($P$3:$P$200=$A53)+($Q$3:$Q$200=$A53)+($R$3:$R$200=$A53)+($S$3:$S$200=$A53)+($T$3:$T$200=$A53)+($U$3:$U$200=$A53)+($V$3:$V$200=$A53)+($W$3:$W$200=$A53)+($X$3:$X$200=$A53)+($Y$3:$Y$200=$A53)+($Z$3:$Z$200=$A53)+($AA$3:$AA$200=$A53))&gt;0)),$L$3:$L$200),"PENDIENTE"))</f>
        <v>PENDIENTE</v>
      </c>
      <c r="C53" s="17" t="str" cm="1">
        <f t="array" ref="C53">IF($A53="","",IFERROR(LOOKUP(2,1/(($K$3:$K$200="Programación")*((($M$3:$M$200=$A53)+($N$3:$N$200=$A53)+($O$3:$O$200=$A53)+($P$3:$P$200=$A53)+($Q$3:$Q$200=$A53)+($R$3:$R$200=$A53)+($S$3:$S$200=$A53)+($T$3:$T$200=$A53)+($U$3:$U$200=$A53)+($V$3:$V$200=$A53)+($W$3:$W$200=$A53)+($X$3:$X$200=$A53)+($Y$3:$Y$200=$A53)+($Z$3:$Z$200=$A53)+($AA$3:$AA$200=$A53))&gt;0)),$L$3:$L$200),"PENDIENTE"))</f>
        <v>PENDIENTE</v>
      </c>
      <c r="D53" s="17" t="str" cm="1">
        <f t="array" ref="D53">IF($A53="","",IFERROR(LOOKUP(2,1/(($K$3:$K$200="Prueba PCB")*((($M$3:$M$200=$A53)+($N$3:$N$200=$A53)+($O$3:$O$200=$A53)+($P$3:$P$200=$A53)+($Q$3:$Q$200=$A53)+($R$3:$R$200=$A53)+($S$3:$S$200=$A53)+($T$3:$T$200=$A53)+($U$3:$U$200=$A53)+($V$3:$V$200=$A53)+($W$3:$W$200=$A53)+($X$3:$X$200=$A53)+($Y$3:$Y$200=$A53)+($Z$3:$Z$200=$A53)+($AA$3:$AA$200=$A53))&gt;0)),$L$3:$L$200),"PENDIENTE"))</f>
        <v>PENDIENTE</v>
      </c>
      <c r="E53" s="17" t="str" cm="1">
        <f t="array" ref="E53">IF($A53="","",IFERROR(LOOKUP(2,1/(($K$3:$K$200="Integración")*((($M$3:$M$200=$A53)+($N$3:$N$200=$A53)+($O$3:$O$200=$A53)+($P$3:$P$200=$A53)+($Q$3:$Q$200=$A53)+($R$3:$R$200=$A53)+($S$3:$S$200=$A53)+($T$3:$T$200=$A53)+($U$3:$U$200=$A53)+($V$3:$V$200=$A53)+($W$3:$W$200=$A53)+($X$3:$X$200=$A53)+($Y$3:$Y$200=$A53)+($Z$3:$Z$200=$A53)+($AA$3:$AA$200=$A53))&gt;0)),$L$3:$L$200),"PENDIENTE"))</f>
        <v>PENDIENTE</v>
      </c>
      <c r="F53" s="17" t="str" cm="1">
        <f t="array" ref="F53">IF($A53="","",IFERROR(LOOKUP(2,1/(($K$3:$K$200="Prueba Final")*((($M$3:$M$200=$A53)+($N$3:$N$200=$A53)+($O$3:$O$200=$A53)+($P$3:$P$200=$A53)+($Q$3:$Q$200=$A53)+($R$3:$R$200=$A53)+($S$3:$S$200=$A53)+($T$3:$T$200=$A53)+($U$3:$U$200=$A53)+($V$3:$V$200=$A53)+($W$3:$W$200=$A53)+($X$3:$X$200=$A53)+($Y$3:$Y$200=$A53)+($Z$3:$Z$200=$A53)+($AA$3:$AA$200=$A53))&gt;0)),$L$3:$L$200),"PENDIENTE"))</f>
        <v>PENDIENTE</v>
      </c>
      <c r="G53" s="17" t="str">
        <f t="shared" si="1"/>
        <v>PENDIENTE</v>
      </c>
      <c r="H53" s="20"/>
      <c r="I53" s="20"/>
      <c r="J53" s="25"/>
      <c r="K53" s="26"/>
      <c r="L53" s="26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"/>
    </row>
    <row r="54" spans="1:28" ht="17.7" customHeight="1">
      <c r="A54" s="16" t="str">
        <f>IF(Producción!A54="","",Producción!A54)</f>
        <v>0066</v>
      </c>
      <c r="B54" s="17" t="str" cm="1">
        <f t="array" ref="B54">IF($A54="","",IFERROR(LOOKUP(2,1/(($K$3:$K$200="Soldadura")*((($M$3:$M$200=$A54)+($N$3:$N$200=$A54)+($O$3:$O$200=$A54)+($P$3:$P$200=$A54)+($Q$3:$Q$200=$A54)+($R$3:$R$200=$A54)+($S$3:$S$200=$A54)+($T$3:$T$200=$A54)+($U$3:$U$200=$A54)+($V$3:$V$200=$A54)+($W$3:$W$200=$A54)+($X$3:$X$200=$A54)+($Y$3:$Y$200=$A54)+($Z$3:$Z$200=$A54)+($AA$3:$AA$200=$A54))&gt;0)),$L$3:$L$200),"PENDIENTE"))</f>
        <v>PENDIENTE</v>
      </c>
      <c r="C54" s="17" t="str" cm="1">
        <f t="array" ref="C54">IF($A54="","",IFERROR(LOOKUP(2,1/(($K$3:$K$200="Programación")*((($M$3:$M$200=$A54)+($N$3:$N$200=$A54)+($O$3:$O$200=$A54)+($P$3:$P$200=$A54)+($Q$3:$Q$200=$A54)+($R$3:$R$200=$A54)+($S$3:$S$200=$A54)+($T$3:$T$200=$A54)+($U$3:$U$200=$A54)+($V$3:$V$200=$A54)+($W$3:$W$200=$A54)+($X$3:$X$200=$A54)+($Y$3:$Y$200=$A54)+($Z$3:$Z$200=$A54)+($AA$3:$AA$200=$A54))&gt;0)),$L$3:$L$200),"PENDIENTE"))</f>
        <v>PENDIENTE</v>
      </c>
      <c r="D54" s="17" t="str" cm="1">
        <f t="array" ref="D54">IF($A54="","",IFERROR(LOOKUP(2,1/(($K$3:$K$200="Prueba PCB")*((($M$3:$M$200=$A54)+($N$3:$N$200=$A54)+($O$3:$O$200=$A54)+($P$3:$P$200=$A54)+($Q$3:$Q$200=$A54)+($R$3:$R$200=$A54)+($S$3:$S$200=$A54)+($T$3:$T$200=$A54)+($U$3:$U$200=$A54)+($V$3:$V$200=$A54)+($W$3:$W$200=$A54)+($X$3:$X$200=$A54)+($Y$3:$Y$200=$A54)+($Z$3:$Z$200=$A54)+($AA$3:$AA$200=$A54))&gt;0)),$L$3:$L$200),"PENDIENTE"))</f>
        <v>PENDIENTE</v>
      </c>
      <c r="E54" s="17" t="str" cm="1">
        <f t="array" ref="E54">IF($A54="","",IFERROR(LOOKUP(2,1/(($K$3:$K$200="Integración")*((($M$3:$M$200=$A54)+($N$3:$N$200=$A54)+($O$3:$O$200=$A54)+($P$3:$P$200=$A54)+($Q$3:$Q$200=$A54)+($R$3:$R$200=$A54)+($S$3:$S$200=$A54)+($T$3:$T$200=$A54)+($U$3:$U$200=$A54)+($V$3:$V$200=$A54)+($W$3:$W$200=$A54)+($X$3:$X$200=$A54)+($Y$3:$Y$200=$A54)+($Z$3:$Z$200=$A54)+($AA$3:$AA$200=$A54))&gt;0)),$L$3:$L$200),"PENDIENTE"))</f>
        <v>PENDIENTE</v>
      </c>
      <c r="F54" s="17" t="str" cm="1">
        <f t="array" ref="F54">IF($A54="","",IFERROR(LOOKUP(2,1/(($K$3:$K$200="Prueba Final")*((($M$3:$M$200=$A54)+($N$3:$N$200=$A54)+($O$3:$O$200=$A54)+($P$3:$P$200=$A54)+($Q$3:$Q$200=$A54)+($R$3:$R$200=$A54)+($S$3:$S$200=$A54)+($T$3:$T$200=$A54)+($U$3:$U$200=$A54)+($V$3:$V$200=$A54)+($W$3:$W$200=$A54)+($X$3:$X$200=$A54)+($Y$3:$Y$200=$A54)+($Z$3:$Z$200=$A54)+($AA$3:$AA$200=$A54))&gt;0)),$L$3:$L$200),"PENDIENTE"))</f>
        <v>PENDIENTE</v>
      </c>
      <c r="G54" s="17" t="str">
        <f t="shared" si="1"/>
        <v>PENDIENTE</v>
      </c>
      <c r="H54" s="20"/>
      <c r="I54" s="20"/>
      <c r="J54" s="25"/>
      <c r="K54" s="26"/>
      <c r="L54" s="26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"/>
    </row>
    <row r="55" spans="1:28" ht="17.7" customHeight="1">
      <c r="A55" s="16" t="str">
        <f>IF(Producción!A55="","",Producción!A55)</f>
        <v>0067</v>
      </c>
      <c r="B55" s="17" t="str" cm="1">
        <f t="array" ref="B55">IF($A55="","",IFERROR(LOOKUP(2,1/(($K$3:$K$200="Soldadura")*((($M$3:$M$200=$A55)+($N$3:$N$200=$A55)+($O$3:$O$200=$A55)+($P$3:$P$200=$A55)+($Q$3:$Q$200=$A55)+($R$3:$R$200=$A55)+($S$3:$S$200=$A55)+($T$3:$T$200=$A55)+($U$3:$U$200=$A55)+($V$3:$V$200=$A55)+($W$3:$W$200=$A55)+($X$3:$X$200=$A55)+($Y$3:$Y$200=$A55)+($Z$3:$Z$200=$A55)+($AA$3:$AA$200=$A55))&gt;0)),$L$3:$L$200),"PENDIENTE"))</f>
        <v>PENDIENTE</v>
      </c>
      <c r="C55" s="17" t="str" cm="1">
        <f t="array" ref="C55">IF($A55="","",IFERROR(LOOKUP(2,1/(($K$3:$K$200="Programación")*((($M$3:$M$200=$A55)+($N$3:$N$200=$A55)+($O$3:$O$200=$A55)+($P$3:$P$200=$A55)+($Q$3:$Q$200=$A55)+($R$3:$R$200=$A55)+($S$3:$S$200=$A55)+($T$3:$T$200=$A55)+($U$3:$U$200=$A55)+($V$3:$V$200=$A55)+($W$3:$W$200=$A55)+($X$3:$X$200=$A55)+($Y$3:$Y$200=$A55)+($Z$3:$Z$200=$A55)+($AA$3:$AA$200=$A55))&gt;0)),$L$3:$L$200),"PENDIENTE"))</f>
        <v>PENDIENTE</v>
      </c>
      <c r="D55" s="17" t="str" cm="1">
        <f t="array" ref="D55">IF($A55="","",IFERROR(LOOKUP(2,1/(($K$3:$K$200="Prueba PCB")*((($M$3:$M$200=$A55)+($N$3:$N$200=$A55)+($O$3:$O$200=$A55)+($P$3:$P$200=$A55)+($Q$3:$Q$200=$A55)+($R$3:$R$200=$A55)+($S$3:$S$200=$A55)+($T$3:$T$200=$A55)+($U$3:$U$200=$A55)+($V$3:$V$200=$A55)+($W$3:$W$200=$A55)+($X$3:$X$200=$A55)+($Y$3:$Y$200=$A55)+($Z$3:$Z$200=$A55)+($AA$3:$AA$200=$A55))&gt;0)),$L$3:$L$200),"PENDIENTE"))</f>
        <v>PENDIENTE</v>
      </c>
      <c r="E55" s="17" t="str" cm="1">
        <f t="array" ref="E55">IF($A55="","",IFERROR(LOOKUP(2,1/(($K$3:$K$200="Integración")*((($M$3:$M$200=$A55)+($N$3:$N$200=$A55)+($O$3:$O$200=$A55)+($P$3:$P$200=$A55)+($Q$3:$Q$200=$A55)+($R$3:$R$200=$A55)+($S$3:$S$200=$A55)+($T$3:$T$200=$A55)+($U$3:$U$200=$A55)+($V$3:$V$200=$A55)+($W$3:$W$200=$A55)+($X$3:$X$200=$A55)+($Y$3:$Y$200=$A55)+($Z$3:$Z$200=$A55)+($AA$3:$AA$200=$A55))&gt;0)),$L$3:$L$200),"PENDIENTE"))</f>
        <v>PENDIENTE</v>
      </c>
      <c r="F55" s="17" t="str" cm="1">
        <f t="array" ref="F55">IF($A55="","",IFERROR(LOOKUP(2,1/(($K$3:$K$200="Prueba Final")*((($M$3:$M$200=$A55)+($N$3:$N$200=$A55)+($O$3:$O$200=$A55)+($P$3:$P$200=$A55)+($Q$3:$Q$200=$A55)+($R$3:$R$200=$A55)+($S$3:$S$200=$A55)+($T$3:$T$200=$A55)+($U$3:$U$200=$A55)+($V$3:$V$200=$A55)+($W$3:$W$200=$A55)+($X$3:$X$200=$A55)+($Y$3:$Y$200=$A55)+($Z$3:$Z$200=$A55)+($AA$3:$AA$200=$A55))&gt;0)),$L$3:$L$200),"PENDIENTE"))</f>
        <v>PENDIENTE</v>
      </c>
      <c r="G55" s="17" t="str">
        <f t="shared" si="1"/>
        <v>PENDIENTE</v>
      </c>
      <c r="H55" s="20"/>
      <c r="I55" s="20"/>
      <c r="J55" s="25"/>
      <c r="K55" s="26"/>
      <c r="L55" s="26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"/>
    </row>
    <row r="56" spans="1:28" ht="17.7" customHeight="1">
      <c r="A56" s="16" t="str">
        <f>IF(Producción!A56="","",Producción!A56)</f>
        <v>0068</v>
      </c>
      <c r="B56" s="17" t="str" cm="1">
        <f t="array" ref="B56">IF($A56="","",IFERROR(LOOKUP(2,1/(($K$3:$K$200="Soldadura")*((($M$3:$M$200=$A56)+($N$3:$N$200=$A56)+($O$3:$O$200=$A56)+($P$3:$P$200=$A56)+($Q$3:$Q$200=$A56)+($R$3:$R$200=$A56)+($S$3:$S$200=$A56)+($T$3:$T$200=$A56)+($U$3:$U$200=$A56)+($V$3:$V$200=$A56)+($W$3:$W$200=$A56)+($X$3:$X$200=$A56)+($Y$3:$Y$200=$A56)+($Z$3:$Z$200=$A56)+($AA$3:$AA$200=$A56))&gt;0)),$L$3:$L$200),"PENDIENTE"))</f>
        <v>PENDIENTE</v>
      </c>
      <c r="C56" s="17" t="str" cm="1">
        <f t="array" ref="C56">IF($A56="","",IFERROR(LOOKUP(2,1/(($K$3:$K$200="Programación")*((($M$3:$M$200=$A56)+($N$3:$N$200=$A56)+($O$3:$O$200=$A56)+($P$3:$P$200=$A56)+($Q$3:$Q$200=$A56)+($R$3:$R$200=$A56)+($S$3:$S$200=$A56)+($T$3:$T$200=$A56)+($U$3:$U$200=$A56)+($V$3:$V$200=$A56)+($W$3:$W$200=$A56)+($X$3:$X$200=$A56)+($Y$3:$Y$200=$A56)+($Z$3:$Z$200=$A56)+($AA$3:$AA$200=$A56))&gt;0)),$L$3:$L$200),"PENDIENTE"))</f>
        <v>PENDIENTE</v>
      </c>
      <c r="D56" s="17" t="str" cm="1">
        <f t="array" ref="D56">IF($A56="","",IFERROR(LOOKUP(2,1/(($K$3:$K$200="Prueba PCB")*((($M$3:$M$200=$A56)+($N$3:$N$200=$A56)+($O$3:$O$200=$A56)+($P$3:$P$200=$A56)+($Q$3:$Q$200=$A56)+($R$3:$R$200=$A56)+($S$3:$S$200=$A56)+($T$3:$T$200=$A56)+($U$3:$U$200=$A56)+($V$3:$V$200=$A56)+($W$3:$W$200=$A56)+($X$3:$X$200=$A56)+($Y$3:$Y$200=$A56)+($Z$3:$Z$200=$A56)+($AA$3:$AA$200=$A56))&gt;0)),$L$3:$L$200),"PENDIENTE"))</f>
        <v>PENDIENTE</v>
      </c>
      <c r="E56" s="17" t="str" cm="1">
        <f t="array" ref="E56">IF($A56="","",IFERROR(LOOKUP(2,1/(($K$3:$K$200="Integración")*((($M$3:$M$200=$A56)+($N$3:$N$200=$A56)+($O$3:$O$200=$A56)+($P$3:$P$200=$A56)+($Q$3:$Q$200=$A56)+($R$3:$R$200=$A56)+($S$3:$S$200=$A56)+($T$3:$T$200=$A56)+($U$3:$U$200=$A56)+($V$3:$V$200=$A56)+($W$3:$W$200=$A56)+($X$3:$X$200=$A56)+($Y$3:$Y$200=$A56)+($Z$3:$Z$200=$A56)+($AA$3:$AA$200=$A56))&gt;0)),$L$3:$L$200),"PENDIENTE"))</f>
        <v>PENDIENTE</v>
      </c>
      <c r="F56" s="17" t="str" cm="1">
        <f t="array" ref="F56">IF($A56="","",IFERROR(LOOKUP(2,1/(($K$3:$K$200="Prueba Final")*((($M$3:$M$200=$A56)+($N$3:$N$200=$A56)+($O$3:$O$200=$A56)+($P$3:$P$200=$A56)+($Q$3:$Q$200=$A56)+($R$3:$R$200=$A56)+($S$3:$S$200=$A56)+($T$3:$T$200=$A56)+($U$3:$U$200=$A56)+($V$3:$V$200=$A56)+($W$3:$W$200=$A56)+($X$3:$X$200=$A56)+($Y$3:$Y$200=$A56)+($Z$3:$Z$200=$A56)+($AA$3:$AA$200=$A56))&gt;0)),$L$3:$L$200),"PENDIENTE"))</f>
        <v>PENDIENTE</v>
      </c>
      <c r="G56" s="17" t="str">
        <f t="shared" si="1"/>
        <v>PENDIENTE</v>
      </c>
      <c r="H56" s="20"/>
      <c r="I56" s="20"/>
      <c r="J56" s="25"/>
      <c r="K56" s="26"/>
      <c r="L56" s="26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"/>
    </row>
    <row r="57" spans="1:28" ht="17.7" customHeight="1">
      <c r="A57" s="16" t="str">
        <f>IF(Producción!A57="","",Producción!A57)</f>
        <v>0069</v>
      </c>
      <c r="B57" s="17" t="str" cm="1">
        <f t="array" ref="B57">IF($A57="","",IFERROR(LOOKUP(2,1/(($K$3:$K$200="Soldadura")*((($M$3:$M$200=$A57)+($N$3:$N$200=$A57)+($O$3:$O$200=$A57)+($P$3:$P$200=$A57)+($Q$3:$Q$200=$A57)+($R$3:$R$200=$A57)+($S$3:$S$200=$A57)+($T$3:$T$200=$A57)+($U$3:$U$200=$A57)+($V$3:$V$200=$A57)+($W$3:$W$200=$A57)+($X$3:$X$200=$A57)+($Y$3:$Y$200=$A57)+($Z$3:$Z$200=$A57)+($AA$3:$AA$200=$A57))&gt;0)),$L$3:$L$200),"PENDIENTE"))</f>
        <v>PENDIENTE</v>
      </c>
      <c r="C57" s="17" t="str" cm="1">
        <f t="array" ref="C57">IF($A57="","",IFERROR(LOOKUP(2,1/(($K$3:$K$200="Programación")*((($M$3:$M$200=$A57)+($N$3:$N$200=$A57)+($O$3:$O$200=$A57)+($P$3:$P$200=$A57)+($Q$3:$Q$200=$A57)+($R$3:$R$200=$A57)+($S$3:$S$200=$A57)+($T$3:$T$200=$A57)+($U$3:$U$200=$A57)+($V$3:$V$200=$A57)+($W$3:$W$200=$A57)+($X$3:$X$200=$A57)+($Y$3:$Y$200=$A57)+($Z$3:$Z$200=$A57)+($AA$3:$AA$200=$A57))&gt;0)),$L$3:$L$200),"PENDIENTE"))</f>
        <v>PENDIENTE</v>
      </c>
      <c r="D57" s="17" t="str" cm="1">
        <f t="array" ref="D57">IF($A57="","",IFERROR(LOOKUP(2,1/(($K$3:$K$200="Prueba PCB")*((($M$3:$M$200=$A57)+($N$3:$N$200=$A57)+($O$3:$O$200=$A57)+($P$3:$P$200=$A57)+($Q$3:$Q$200=$A57)+($R$3:$R$200=$A57)+($S$3:$S$200=$A57)+($T$3:$T$200=$A57)+($U$3:$U$200=$A57)+($V$3:$V$200=$A57)+($W$3:$W$200=$A57)+($X$3:$X$200=$A57)+($Y$3:$Y$200=$A57)+($Z$3:$Z$200=$A57)+($AA$3:$AA$200=$A57))&gt;0)),$L$3:$L$200),"PENDIENTE"))</f>
        <v>PENDIENTE</v>
      </c>
      <c r="E57" s="17" t="str" cm="1">
        <f t="array" ref="E57">IF($A57="","",IFERROR(LOOKUP(2,1/(($K$3:$K$200="Integración")*((($M$3:$M$200=$A57)+($N$3:$N$200=$A57)+($O$3:$O$200=$A57)+($P$3:$P$200=$A57)+($Q$3:$Q$200=$A57)+($R$3:$R$200=$A57)+($S$3:$S$200=$A57)+($T$3:$T$200=$A57)+($U$3:$U$200=$A57)+($V$3:$V$200=$A57)+($W$3:$W$200=$A57)+($X$3:$X$200=$A57)+($Y$3:$Y$200=$A57)+($Z$3:$Z$200=$A57)+($AA$3:$AA$200=$A57))&gt;0)),$L$3:$L$200),"PENDIENTE"))</f>
        <v>PENDIENTE</v>
      </c>
      <c r="F57" s="17" t="str" cm="1">
        <f t="array" ref="F57">IF($A57="","",IFERROR(LOOKUP(2,1/(($K$3:$K$200="Prueba Final")*((($M$3:$M$200=$A57)+($N$3:$N$200=$A57)+($O$3:$O$200=$A57)+($P$3:$P$200=$A57)+($Q$3:$Q$200=$A57)+($R$3:$R$200=$A57)+($S$3:$S$200=$A57)+($T$3:$T$200=$A57)+($U$3:$U$200=$A57)+($V$3:$V$200=$A57)+($W$3:$W$200=$A57)+($X$3:$X$200=$A57)+($Y$3:$Y$200=$A57)+($Z$3:$Z$200=$A57)+($AA$3:$AA$200=$A57))&gt;0)),$L$3:$L$200),"PENDIENTE"))</f>
        <v>PENDIENTE</v>
      </c>
      <c r="G57" s="17" t="str">
        <f t="shared" si="1"/>
        <v>PENDIENTE</v>
      </c>
      <c r="H57" s="20"/>
      <c r="I57" s="20"/>
      <c r="J57" s="25"/>
      <c r="K57" s="26"/>
      <c r="L57" s="26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"/>
    </row>
    <row r="58" spans="1:28" ht="17.7" customHeight="1">
      <c r="A58" s="16" t="str">
        <f>IF(Producción!A58="","",Producción!A58)</f>
        <v>0070</v>
      </c>
      <c r="B58" s="17" t="str" cm="1">
        <f t="array" ref="B58">IF($A58="","",IFERROR(LOOKUP(2,1/(($K$3:$K$200="Soldadura")*((($M$3:$M$200=$A58)+($N$3:$N$200=$A58)+($O$3:$O$200=$A58)+($P$3:$P$200=$A58)+($Q$3:$Q$200=$A58)+($R$3:$R$200=$A58)+($S$3:$S$200=$A58)+($T$3:$T$200=$A58)+($U$3:$U$200=$A58)+($V$3:$V$200=$A58)+($W$3:$W$200=$A58)+($X$3:$X$200=$A58)+($Y$3:$Y$200=$A58)+($Z$3:$Z$200=$A58)+($AA$3:$AA$200=$A58))&gt;0)),$L$3:$L$200),"PENDIENTE"))</f>
        <v>PENDIENTE</v>
      </c>
      <c r="C58" s="17" t="str" cm="1">
        <f t="array" ref="C58">IF($A58="","",IFERROR(LOOKUP(2,1/(($K$3:$K$200="Programación")*((($M$3:$M$200=$A58)+($N$3:$N$200=$A58)+($O$3:$O$200=$A58)+($P$3:$P$200=$A58)+($Q$3:$Q$200=$A58)+($R$3:$R$200=$A58)+($S$3:$S$200=$A58)+($T$3:$T$200=$A58)+($U$3:$U$200=$A58)+($V$3:$V$200=$A58)+($W$3:$W$200=$A58)+($X$3:$X$200=$A58)+($Y$3:$Y$200=$A58)+($Z$3:$Z$200=$A58)+($AA$3:$AA$200=$A58))&gt;0)),$L$3:$L$200),"PENDIENTE"))</f>
        <v>PENDIENTE</v>
      </c>
      <c r="D58" s="17" t="str" cm="1">
        <f t="array" ref="D58">IF($A58="","",IFERROR(LOOKUP(2,1/(($K$3:$K$200="Prueba PCB")*((($M$3:$M$200=$A58)+($N$3:$N$200=$A58)+($O$3:$O$200=$A58)+($P$3:$P$200=$A58)+($Q$3:$Q$200=$A58)+($R$3:$R$200=$A58)+($S$3:$S$200=$A58)+($T$3:$T$200=$A58)+($U$3:$U$200=$A58)+($V$3:$V$200=$A58)+($W$3:$W$200=$A58)+($X$3:$X$200=$A58)+($Y$3:$Y$200=$A58)+($Z$3:$Z$200=$A58)+($AA$3:$AA$200=$A58))&gt;0)),$L$3:$L$200),"PENDIENTE"))</f>
        <v>PENDIENTE</v>
      </c>
      <c r="E58" s="17" t="str" cm="1">
        <f t="array" ref="E58">IF($A58="","",IFERROR(LOOKUP(2,1/(($K$3:$K$200="Integración")*((($M$3:$M$200=$A58)+($N$3:$N$200=$A58)+($O$3:$O$200=$A58)+($P$3:$P$200=$A58)+($Q$3:$Q$200=$A58)+($R$3:$R$200=$A58)+($S$3:$S$200=$A58)+($T$3:$T$200=$A58)+($U$3:$U$200=$A58)+($V$3:$V$200=$A58)+($W$3:$W$200=$A58)+($X$3:$X$200=$A58)+($Y$3:$Y$200=$A58)+($Z$3:$Z$200=$A58)+($AA$3:$AA$200=$A58))&gt;0)),$L$3:$L$200),"PENDIENTE"))</f>
        <v>PENDIENTE</v>
      </c>
      <c r="F58" s="17" t="str" cm="1">
        <f t="array" ref="F58">IF($A58="","",IFERROR(LOOKUP(2,1/(($K$3:$K$200="Prueba Final")*((($M$3:$M$200=$A58)+($N$3:$N$200=$A58)+($O$3:$O$200=$A58)+($P$3:$P$200=$A58)+($Q$3:$Q$200=$A58)+($R$3:$R$200=$A58)+($S$3:$S$200=$A58)+($T$3:$T$200=$A58)+($U$3:$U$200=$A58)+($V$3:$V$200=$A58)+($W$3:$W$200=$A58)+($X$3:$X$200=$A58)+($Y$3:$Y$200=$A58)+($Z$3:$Z$200=$A58)+($AA$3:$AA$200=$A58))&gt;0)),$L$3:$L$200),"PENDIENTE"))</f>
        <v>PENDIENTE</v>
      </c>
      <c r="G58" s="17" t="str">
        <f t="shared" si="1"/>
        <v>PENDIENTE</v>
      </c>
      <c r="H58" s="20"/>
      <c r="I58" s="20"/>
      <c r="J58" s="25"/>
      <c r="K58" s="26"/>
      <c r="L58" s="26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"/>
    </row>
    <row r="59" spans="1:28" ht="17.7" customHeight="1">
      <c r="A59" s="16" t="str">
        <f>IF(Producción!A59="","",Producción!A59)</f>
        <v>0071</v>
      </c>
      <c r="B59" s="17" t="str" cm="1">
        <f t="array" ref="B59">IF($A59="","",IFERROR(LOOKUP(2,1/(($K$3:$K$200="Soldadura")*((($M$3:$M$200=$A59)+($N$3:$N$200=$A59)+($O$3:$O$200=$A59)+($P$3:$P$200=$A59)+($Q$3:$Q$200=$A59)+($R$3:$R$200=$A59)+($S$3:$S$200=$A59)+($T$3:$T$200=$A59)+($U$3:$U$200=$A59)+($V$3:$V$200=$A59)+($W$3:$W$200=$A59)+($X$3:$X$200=$A59)+($Y$3:$Y$200=$A59)+($Z$3:$Z$200=$A59)+($AA$3:$AA$200=$A59))&gt;0)),$L$3:$L$200),"PENDIENTE"))</f>
        <v>PENDIENTE</v>
      </c>
      <c r="C59" s="17" t="str" cm="1">
        <f t="array" ref="C59">IF($A59="","",IFERROR(LOOKUP(2,1/(($K$3:$K$200="Programación")*((($M$3:$M$200=$A59)+($N$3:$N$200=$A59)+($O$3:$O$200=$A59)+($P$3:$P$200=$A59)+($Q$3:$Q$200=$A59)+($R$3:$R$200=$A59)+($S$3:$S$200=$A59)+($T$3:$T$200=$A59)+($U$3:$U$200=$A59)+($V$3:$V$200=$A59)+($W$3:$W$200=$A59)+($X$3:$X$200=$A59)+($Y$3:$Y$200=$A59)+($Z$3:$Z$200=$A59)+($AA$3:$AA$200=$A59))&gt;0)),$L$3:$L$200),"PENDIENTE"))</f>
        <v>PENDIENTE</v>
      </c>
      <c r="D59" s="17" t="str" cm="1">
        <f t="array" ref="D59">IF($A59="","",IFERROR(LOOKUP(2,1/(($K$3:$K$200="Prueba PCB")*((($M$3:$M$200=$A59)+($N$3:$N$200=$A59)+($O$3:$O$200=$A59)+($P$3:$P$200=$A59)+($Q$3:$Q$200=$A59)+($R$3:$R$200=$A59)+($S$3:$S$200=$A59)+($T$3:$T$200=$A59)+($U$3:$U$200=$A59)+($V$3:$V$200=$A59)+($W$3:$W$200=$A59)+($X$3:$X$200=$A59)+($Y$3:$Y$200=$A59)+($Z$3:$Z$200=$A59)+($AA$3:$AA$200=$A59))&gt;0)),$L$3:$L$200),"PENDIENTE"))</f>
        <v>PENDIENTE</v>
      </c>
      <c r="E59" s="17" t="str" cm="1">
        <f t="array" ref="E59">IF($A59="","",IFERROR(LOOKUP(2,1/(($K$3:$K$200="Integración")*((($M$3:$M$200=$A59)+($N$3:$N$200=$A59)+($O$3:$O$200=$A59)+($P$3:$P$200=$A59)+($Q$3:$Q$200=$A59)+($R$3:$R$200=$A59)+($S$3:$S$200=$A59)+($T$3:$T$200=$A59)+($U$3:$U$200=$A59)+($V$3:$V$200=$A59)+($W$3:$W$200=$A59)+($X$3:$X$200=$A59)+($Y$3:$Y$200=$A59)+($Z$3:$Z$200=$A59)+($AA$3:$AA$200=$A59))&gt;0)),$L$3:$L$200),"PENDIENTE"))</f>
        <v>PENDIENTE</v>
      </c>
      <c r="F59" s="17" t="str" cm="1">
        <f t="array" ref="F59">IF($A59="","",IFERROR(LOOKUP(2,1/(($K$3:$K$200="Prueba Final")*((($M$3:$M$200=$A59)+($N$3:$N$200=$A59)+($O$3:$O$200=$A59)+($P$3:$P$200=$A59)+($Q$3:$Q$200=$A59)+($R$3:$R$200=$A59)+($S$3:$S$200=$A59)+($T$3:$T$200=$A59)+($U$3:$U$200=$A59)+($V$3:$V$200=$A59)+($W$3:$W$200=$A59)+($X$3:$X$200=$A59)+($Y$3:$Y$200=$A59)+($Z$3:$Z$200=$A59)+($AA$3:$AA$200=$A59))&gt;0)),$L$3:$L$200),"PENDIENTE"))</f>
        <v>PENDIENTE</v>
      </c>
      <c r="G59" s="17" t="str">
        <f t="shared" si="1"/>
        <v>PENDIENTE</v>
      </c>
      <c r="H59" s="20"/>
      <c r="I59" s="20"/>
      <c r="J59" s="25"/>
      <c r="K59" s="26"/>
      <c r="L59" s="26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"/>
    </row>
    <row r="60" spans="1:28" ht="17.7" customHeight="1">
      <c r="A60" s="16" t="str">
        <f>IF(Producción!A60="","",Producción!A60)</f>
        <v>0072</v>
      </c>
      <c r="B60" s="17" t="str" cm="1">
        <f t="array" ref="B60">IF($A60="","",IFERROR(LOOKUP(2,1/(($K$3:$K$200="Soldadura")*((($M$3:$M$200=$A60)+($N$3:$N$200=$A60)+($O$3:$O$200=$A60)+($P$3:$P$200=$A60)+($Q$3:$Q$200=$A60)+($R$3:$R$200=$A60)+($S$3:$S$200=$A60)+($T$3:$T$200=$A60)+($U$3:$U$200=$A60)+($V$3:$V$200=$A60)+($W$3:$W$200=$A60)+($X$3:$X$200=$A60)+($Y$3:$Y$200=$A60)+($Z$3:$Z$200=$A60)+($AA$3:$AA$200=$A60))&gt;0)),$L$3:$L$200),"PENDIENTE"))</f>
        <v>PENDIENTE</v>
      </c>
      <c r="C60" s="17" t="str" cm="1">
        <f t="array" ref="C60">IF($A60="","",IFERROR(LOOKUP(2,1/(($K$3:$K$200="Programación")*((($M$3:$M$200=$A60)+($N$3:$N$200=$A60)+($O$3:$O$200=$A60)+($P$3:$P$200=$A60)+($Q$3:$Q$200=$A60)+($R$3:$R$200=$A60)+($S$3:$S$200=$A60)+($T$3:$T$200=$A60)+($U$3:$U$200=$A60)+($V$3:$V$200=$A60)+($W$3:$W$200=$A60)+($X$3:$X$200=$A60)+($Y$3:$Y$200=$A60)+($Z$3:$Z$200=$A60)+($AA$3:$AA$200=$A60))&gt;0)),$L$3:$L$200),"PENDIENTE"))</f>
        <v>PENDIENTE</v>
      </c>
      <c r="D60" s="17" t="str" cm="1">
        <f t="array" ref="D60">IF($A60="","",IFERROR(LOOKUP(2,1/(($K$3:$K$200="Prueba PCB")*((($M$3:$M$200=$A60)+($N$3:$N$200=$A60)+($O$3:$O$200=$A60)+($P$3:$P$200=$A60)+($Q$3:$Q$200=$A60)+($R$3:$R$200=$A60)+($S$3:$S$200=$A60)+($T$3:$T$200=$A60)+($U$3:$U$200=$A60)+($V$3:$V$200=$A60)+($W$3:$W$200=$A60)+($X$3:$X$200=$A60)+($Y$3:$Y$200=$A60)+($Z$3:$Z$200=$A60)+($AA$3:$AA$200=$A60))&gt;0)),$L$3:$L$200),"PENDIENTE"))</f>
        <v>PENDIENTE</v>
      </c>
      <c r="E60" s="17" t="str" cm="1">
        <f t="array" ref="E60">IF($A60="","",IFERROR(LOOKUP(2,1/(($K$3:$K$200="Integración")*((($M$3:$M$200=$A60)+($N$3:$N$200=$A60)+($O$3:$O$200=$A60)+($P$3:$P$200=$A60)+($Q$3:$Q$200=$A60)+($R$3:$R$200=$A60)+($S$3:$S$200=$A60)+($T$3:$T$200=$A60)+($U$3:$U$200=$A60)+($V$3:$V$200=$A60)+($W$3:$W$200=$A60)+($X$3:$X$200=$A60)+($Y$3:$Y$200=$A60)+($Z$3:$Z$200=$A60)+($AA$3:$AA$200=$A60))&gt;0)),$L$3:$L$200),"PENDIENTE"))</f>
        <v>PENDIENTE</v>
      </c>
      <c r="F60" s="17" t="str" cm="1">
        <f t="array" ref="F60">IF($A60="","",IFERROR(LOOKUP(2,1/(($K$3:$K$200="Prueba Final")*((($M$3:$M$200=$A60)+($N$3:$N$200=$A60)+($O$3:$O$200=$A60)+($P$3:$P$200=$A60)+($Q$3:$Q$200=$A60)+($R$3:$R$200=$A60)+($S$3:$S$200=$A60)+($T$3:$T$200=$A60)+($U$3:$U$200=$A60)+($V$3:$V$200=$A60)+($W$3:$W$200=$A60)+($X$3:$X$200=$A60)+($Y$3:$Y$200=$A60)+($Z$3:$Z$200=$A60)+($AA$3:$AA$200=$A60))&gt;0)),$L$3:$L$200),"PENDIENTE"))</f>
        <v>PENDIENTE</v>
      </c>
      <c r="G60" s="17" t="str">
        <f t="shared" si="1"/>
        <v>PENDIENTE</v>
      </c>
      <c r="H60" s="20"/>
      <c r="I60" s="20"/>
      <c r="J60" s="25"/>
      <c r="K60" s="26"/>
      <c r="L60" s="26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"/>
    </row>
    <row r="61" spans="1:28" ht="17.7" customHeight="1">
      <c r="A61" s="16" t="str">
        <f>IF(Producción!A61="","",Producción!A61)</f>
        <v>0073</v>
      </c>
      <c r="B61" s="17" t="str" cm="1">
        <f t="array" ref="B61">IF($A61="","",IFERROR(LOOKUP(2,1/(($K$3:$K$200="Soldadura")*((($M$3:$M$200=$A61)+($N$3:$N$200=$A61)+($O$3:$O$200=$A61)+($P$3:$P$200=$A61)+($Q$3:$Q$200=$A61)+($R$3:$R$200=$A61)+($S$3:$S$200=$A61)+($T$3:$T$200=$A61)+($U$3:$U$200=$A61)+($V$3:$V$200=$A61)+($W$3:$W$200=$A61)+($X$3:$X$200=$A61)+($Y$3:$Y$200=$A61)+($Z$3:$Z$200=$A61)+($AA$3:$AA$200=$A61))&gt;0)),$L$3:$L$200),"PENDIENTE"))</f>
        <v>PENDIENTE</v>
      </c>
      <c r="C61" s="17" t="str" cm="1">
        <f t="array" ref="C61">IF($A61="","",IFERROR(LOOKUP(2,1/(($K$3:$K$200="Programación")*((($M$3:$M$200=$A61)+($N$3:$N$200=$A61)+($O$3:$O$200=$A61)+($P$3:$P$200=$A61)+($Q$3:$Q$200=$A61)+($R$3:$R$200=$A61)+($S$3:$S$200=$A61)+($T$3:$T$200=$A61)+($U$3:$U$200=$A61)+($V$3:$V$200=$A61)+($W$3:$W$200=$A61)+($X$3:$X$200=$A61)+($Y$3:$Y$200=$A61)+($Z$3:$Z$200=$A61)+($AA$3:$AA$200=$A61))&gt;0)),$L$3:$L$200),"PENDIENTE"))</f>
        <v>PENDIENTE</v>
      </c>
      <c r="D61" s="17" t="str" cm="1">
        <f t="array" ref="D61">IF($A61="","",IFERROR(LOOKUP(2,1/(($K$3:$K$200="Prueba PCB")*((($M$3:$M$200=$A61)+($N$3:$N$200=$A61)+($O$3:$O$200=$A61)+($P$3:$P$200=$A61)+($Q$3:$Q$200=$A61)+($R$3:$R$200=$A61)+($S$3:$S$200=$A61)+($T$3:$T$200=$A61)+($U$3:$U$200=$A61)+($V$3:$V$200=$A61)+($W$3:$W$200=$A61)+($X$3:$X$200=$A61)+($Y$3:$Y$200=$A61)+($Z$3:$Z$200=$A61)+($AA$3:$AA$200=$A61))&gt;0)),$L$3:$L$200),"PENDIENTE"))</f>
        <v>PENDIENTE</v>
      </c>
      <c r="E61" s="17" t="str" cm="1">
        <f t="array" ref="E61">IF($A61="","",IFERROR(LOOKUP(2,1/(($K$3:$K$200="Integración")*((($M$3:$M$200=$A61)+($N$3:$N$200=$A61)+($O$3:$O$200=$A61)+($P$3:$P$200=$A61)+($Q$3:$Q$200=$A61)+($R$3:$R$200=$A61)+($S$3:$S$200=$A61)+($T$3:$T$200=$A61)+($U$3:$U$200=$A61)+($V$3:$V$200=$A61)+($W$3:$W$200=$A61)+($X$3:$X$200=$A61)+($Y$3:$Y$200=$A61)+($Z$3:$Z$200=$A61)+($AA$3:$AA$200=$A61))&gt;0)),$L$3:$L$200),"PENDIENTE"))</f>
        <v>PENDIENTE</v>
      </c>
      <c r="F61" s="17" t="str" cm="1">
        <f t="array" ref="F61">IF($A61="","",IFERROR(LOOKUP(2,1/(($K$3:$K$200="Prueba Final")*((($M$3:$M$200=$A61)+($N$3:$N$200=$A61)+($O$3:$O$200=$A61)+($P$3:$P$200=$A61)+($Q$3:$Q$200=$A61)+($R$3:$R$200=$A61)+($S$3:$S$200=$A61)+($T$3:$T$200=$A61)+($U$3:$U$200=$A61)+($V$3:$V$200=$A61)+($W$3:$W$200=$A61)+($X$3:$X$200=$A61)+($Y$3:$Y$200=$A61)+($Z$3:$Z$200=$A61)+($AA$3:$AA$200=$A61))&gt;0)),$L$3:$L$200),"PENDIENTE"))</f>
        <v>PENDIENTE</v>
      </c>
      <c r="G61" s="17" t="str">
        <f t="shared" si="1"/>
        <v>PENDIENTE</v>
      </c>
      <c r="H61" s="20"/>
      <c r="I61" s="20"/>
      <c r="J61" s="25"/>
      <c r="K61" s="26"/>
      <c r="L61" s="26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"/>
    </row>
    <row r="62" spans="1:28" ht="17.7" customHeight="1">
      <c r="A62" s="16" t="str">
        <f>IF(Producción!A62="","",Producción!A62)</f>
        <v>0074</v>
      </c>
      <c r="B62" s="17" t="str" cm="1">
        <f t="array" ref="B62">IF($A62="","",IFERROR(LOOKUP(2,1/(($K$3:$K$200="Soldadura")*((($M$3:$M$200=$A62)+($N$3:$N$200=$A62)+($O$3:$O$200=$A62)+($P$3:$P$200=$A62)+($Q$3:$Q$200=$A62)+($R$3:$R$200=$A62)+($S$3:$S$200=$A62)+($T$3:$T$200=$A62)+($U$3:$U$200=$A62)+($V$3:$V$200=$A62)+($W$3:$W$200=$A62)+($X$3:$X$200=$A62)+($Y$3:$Y$200=$A62)+($Z$3:$Z$200=$A62)+($AA$3:$AA$200=$A62))&gt;0)),$L$3:$L$200),"PENDIENTE"))</f>
        <v>PENDIENTE</v>
      </c>
      <c r="C62" s="17" t="str" cm="1">
        <f t="array" ref="C62">IF($A62="","",IFERROR(LOOKUP(2,1/(($K$3:$K$200="Programación")*((($M$3:$M$200=$A62)+($N$3:$N$200=$A62)+($O$3:$O$200=$A62)+($P$3:$P$200=$A62)+($Q$3:$Q$200=$A62)+($R$3:$R$200=$A62)+($S$3:$S$200=$A62)+($T$3:$T$200=$A62)+($U$3:$U$200=$A62)+($V$3:$V$200=$A62)+($W$3:$W$200=$A62)+($X$3:$X$200=$A62)+($Y$3:$Y$200=$A62)+($Z$3:$Z$200=$A62)+($AA$3:$AA$200=$A62))&gt;0)),$L$3:$L$200),"PENDIENTE"))</f>
        <v>PENDIENTE</v>
      </c>
      <c r="D62" s="17" t="str" cm="1">
        <f t="array" ref="D62">IF($A62="","",IFERROR(LOOKUP(2,1/(($K$3:$K$200="Prueba PCB")*((($M$3:$M$200=$A62)+($N$3:$N$200=$A62)+($O$3:$O$200=$A62)+($P$3:$P$200=$A62)+($Q$3:$Q$200=$A62)+($R$3:$R$200=$A62)+($S$3:$S$200=$A62)+($T$3:$T$200=$A62)+($U$3:$U$200=$A62)+($V$3:$V$200=$A62)+($W$3:$W$200=$A62)+($X$3:$X$200=$A62)+($Y$3:$Y$200=$A62)+($Z$3:$Z$200=$A62)+($AA$3:$AA$200=$A62))&gt;0)),$L$3:$L$200),"PENDIENTE"))</f>
        <v>PENDIENTE</v>
      </c>
      <c r="E62" s="17" t="str" cm="1">
        <f t="array" ref="E62">IF($A62="","",IFERROR(LOOKUP(2,1/(($K$3:$K$200="Integración")*((($M$3:$M$200=$A62)+($N$3:$N$200=$A62)+($O$3:$O$200=$A62)+($P$3:$P$200=$A62)+($Q$3:$Q$200=$A62)+($R$3:$R$200=$A62)+($S$3:$S$200=$A62)+($T$3:$T$200=$A62)+($U$3:$U$200=$A62)+($V$3:$V$200=$A62)+($W$3:$W$200=$A62)+($X$3:$X$200=$A62)+($Y$3:$Y$200=$A62)+($Z$3:$Z$200=$A62)+($AA$3:$AA$200=$A62))&gt;0)),$L$3:$L$200),"PENDIENTE"))</f>
        <v>PENDIENTE</v>
      </c>
      <c r="F62" s="17" t="str" cm="1">
        <f t="array" ref="F62">IF($A62="","",IFERROR(LOOKUP(2,1/(($K$3:$K$200="Prueba Final")*((($M$3:$M$200=$A62)+($N$3:$N$200=$A62)+($O$3:$O$200=$A62)+($P$3:$P$200=$A62)+($Q$3:$Q$200=$A62)+($R$3:$R$200=$A62)+($S$3:$S$200=$A62)+($T$3:$T$200=$A62)+($U$3:$U$200=$A62)+($V$3:$V$200=$A62)+($W$3:$W$200=$A62)+($X$3:$X$200=$A62)+($Y$3:$Y$200=$A62)+($Z$3:$Z$200=$A62)+($AA$3:$AA$200=$A62))&gt;0)),$L$3:$L$200),"PENDIENTE"))</f>
        <v>PENDIENTE</v>
      </c>
      <c r="G62" s="17" t="str">
        <f t="shared" si="1"/>
        <v>PENDIENTE</v>
      </c>
      <c r="H62" s="20"/>
      <c r="I62" s="20"/>
      <c r="J62" s="25"/>
      <c r="K62" s="26"/>
      <c r="L62" s="26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"/>
    </row>
    <row r="63" spans="1:28" ht="17.7" customHeight="1">
      <c r="A63" s="16" t="str">
        <f>IF(Producción!A63="","",Producción!A63)</f>
        <v>0076</v>
      </c>
      <c r="B63" s="17" t="str" cm="1">
        <f t="array" ref="B63">IF($A63="","",IFERROR(LOOKUP(2,1/(($K$3:$K$200="Soldadura")*((($M$3:$M$200=$A63)+($N$3:$N$200=$A63)+($O$3:$O$200=$A63)+($P$3:$P$200=$A63)+($Q$3:$Q$200=$A63)+($R$3:$R$200=$A63)+($S$3:$S$200=$A63)+($T$3:$T$200=$A63)+($U$3:$U$200=$A63)+($V$3:$V$200=$A63)+($W$3:$W$200=$A63)+($X$3:$X$200=$A63)+($Y$3:$Y$200=$A63)+($Z$3:$Z$200=$A63)+($AA$3:$AA$200=$A63))&gt;0)),$L$3:$L$200),"PENDIENTE"))</f>
        <v>PENDIENTE</v>
      </c>
      <c r="C63" s="17" t="str" cm="1">
        <f t="array" ref="C63">IF($A63="","",IFERROR(LOOKUP(2,1/(($K$3:$K$200="Programación")*((($M$3:$M$200=$A63)+($N$3:$N$200=$A63)+($O$3:$O$200=$A63)+($P$3:$P$200=$A63)+($Q$3:$Q$200=$A63)+($R$3:$R$200=$A63)+($S$3:$S$200=$A63)+($T$3:$T$200=$A63)+($U$3:$U$200=$A63)+($V$3:$V$200=$A63)+($W$3:$W$200=$A63)+($X$3:$X$200=$A63)+($Y$3:$Y$200=$A63)+($Z$3:$Z$200=$A63)+($AA$3:$AA$200=$A63))&gt;0)),$L$3:$L$200),"PENDIENTE"))</f>
        <v>PENDIENTE</v>
      </c>
      <c r="D63" s="17" t="str" cm="1">
        <f t="array" ref="D63">IF($A63="","",IFERROR(LOOKUP(2,1/(($K$3:$K$200="Prueba PCB")*((($M$3:$M$200=$A63)+($N$3:$N$200=$A63)+($O$3:$O$200=$A63)+($P$3:$P$200=$A63)+($Q$3:$Q$200=$A63)+($R$3:$R$200=$A63)+($S$3:$S$200=$A63)+($T$3:$T$200=$A63)+($U$3:$U$200=$A63)+($V$3:$V$200=$A63)+($W$3:$W$200=$A63)+($X$3:$X$200=$A63)+($Y$3:$Y$200=$A63)+($Z$3:$Z$200=$A63)+($AA$3:$AA$200=$A63))&gt;0)),$L$3:$L$200),"PENDIENTE"))</f>
        <v>PENDIENTE</v>
      </c>
      <c r="E63" s="17" t="str" cm="1">
        <f t="array" ref="E63">IF($A63="","",IFERROR(LOOKUP(2,1/(($K$3:$K$200="Integración")*((($M$3:$M$200=$A63)+($N$3:$N$200=$A63)+($O$3:$O$200=$A63)+($P$3:$P$200=$A63)+($Q$3:$Q$200=$A63)+($R$3:$R$200=$A63)+($S$3:$S$200=$A63)+($T$3:$T$200=$A63)+($U$3:$U$200=$A63)+($V$3:$V$200=$A63)+($W$3:$W$200=$A63)+($X$3:$X$200=$A63)+($Y$3:$Y$200=$A63)+($Z$3:$Z$200=$A63)+($AA$3:$AA$200=$A63))&gt;0)),$L$3:$L$200),"PENDIENTE"))</f>
        <v>PENDIENTE</v>
      </c>
      <c r="F63" s="17" t="str" cm="1">
        <f t="array" ref="F63">IF($A63="","",IFERROR(LOOKUP(2,1/(($K$3:$K$200="Prueba Final")*((($M$3:$M$200=$A63)+($N$3:$N$200=$A63)+($O$3:$O$200=$A63)+($P$3:$P$200=$A63)+($Q$3:$Q$200=$A63)+($R$3:$R$200=$A63)+($S$3:$S$200=$A63)+($T$3:$T$200=$A63)+($U$3:$U$200=$A63)+($V$3:$V$200=$A63)+($W$3:$W$200=$A63)+($X$3:$X$200=$A63)+($Y$3:$Y$200=$A63)+($Z$3:$Z$200=$A63)+($AA$3:$AA$200=$A63))&gt;0)),$L$3:$L$200),"PENDIENTE"))</f>
        <v>PENDIENTE</v>
      </c>
      <c r="G63" s="17" t="str">
        <f t="shared" si="1"/>
        <v>PENDIENTE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8" ht="17.7" customHeight="1">
      <c r="A64" s="16" t="str">
        <f>IF(Producción!A64="","",Producción!A64)</f>
        <v>0077</v>
      </c>
      <c r="B64" s="17" t="str" cm="1">
        <f t="array" ref="B64">IF($A64="","",IFERROR(LOOKUP(2,1/(($K$3:$K$200="Soldadura")*((($M$3:$M$200=$A64)+($N$3:$N$200=$A64)+($O$3:$O$200=$A64)+($P$3:$P$200=$A64)+($Q$3:$Q$200=$A64)+($R$3:$R$200=$A64)+($S$3:$S$200=$A64)+($T$3:$T$200=$A64)+($U$3:$U$200=$A64)+($V$3:$V$200=$A64)+($W$3:$W$200=$A64)+($X$3:$X$200=$A64)+($Y$3:$Y$200=$A64)+($Z$3:$Z$200=$A64)+($AA$3:$AA$200=$A64))&gt;0)),$L$3:$L$200),"PENDIENTE"))</f>
        <v>PENDIENTE</v>
      </c>
      <c r="C64" s="17" t="str" cm="1">
        <f t="array" ref="C64">IF($A64="","",IFERROR(LOOKUP(2,1/(($K$3:$K$200="Programación")*((($M$3:$M$200=$A64)+($N$3:$N$200=$A64)+($O$3:$O$200=$A64)+($P$3:$P$200=$A64)+($Q$3:$Q$200=$A64)+($R$3:$R$200=$A64)+($S$3:$S$200=$A64)+($T$3:$T$200=$A64)+($U$3:$U$200=$A64)+($V$3:$V$200=$A64)+($W$3:$W$200=$A64)+($X$3:$X$200=$A64)+($Y$3:$Y$200=$A64)+($Z$3:$Z$200=$A64)+($AA$3:$AA$200=$A64))&gt;0)),$L$3:$L$200),"PENDIENTE"))</f>
        <v>PENDIENTE</v>
      </c>
      <c r="D64" s="17" t="str" cm="1">
        <f t="array" ref="D64">IF($A64="","",IFERROR(LOOKUP(2,1/(($K$3:$K$200="Prueba PCB")*((($M$3:$M$200=$A64)+($N$3:$N$200=$A64)+($O$3:$O$200=$A64)+($P$3:$P$200=$A64)+($Q$3:$Q$200=$A64)+($R$3:$R$200=$A64)+($S$3:$S$200=$A64)+($T$3:$T$200=$A64)+($U$3:$U$200=$A64)+($V$3:$V$200=$A64)+($W$3:$W$200=$A64)+($X$3:$X$200=$A64)+($Y$3:$Y$200=$A64)+($Z$3:$Z$200=$A64)+($AA$3:$AA$200=$A64))&gt;0)),$L$3:$L$200),"PENDIENTE"))</f>
        <v>PENDIENTE</v>
      </c>
      <c r="E64" s="17" t="str" cm="1">
        <f t="array" ref="E64">IF($A64="","",IFERROR(LOOKUP(2,1/(($K$3:$K$200="Integración")*((($M$3:$M$200=$A64)+($N$3:$N$200=$A64)+($O$3:$O$200=$A64)+($P$3:$P$200=$A64)+($Q$3:$Q$200=$A64)+($R$3:$R$200=$A64)+($S$3:$S$200=$A64)+($T$3:$T$200=$A64)+($U$3:$U$200=$A64)+($V$3:$V$200=$A64)+($W$3:$W$200=$A64)+($X$3:$X$200=$A64)+($Y$3:$Y$200=$A64)+($Z$3:$Z$200=$A64)+($AA$3:$AA$200=$A64))&gt;0)),$L$3:$L$200),"PENDIENTE"))</f>
        <v>PENDIENTE</v>
      </c>
      <c r="F64" s="17" t="str" cm="1">
        <f t="array" ref="F64">IF($A64="","",IFERROR(LOOKUP(2,1/(($K$3:$K$200="Prueba Final")*((($M$3:$M$200=$A64)+($N$3:$N$200=$A64)+($O$3:$O$200=$A64)+($P$3:$P$200=$A64)+($Q$3:$Q$200=$A64)+($R$3:$R$200=$A64)+($S$3:$S$200=$A64)+($T$3:$T$200=$A64)+($U$3:$U$200=$A64)+($V$3:$V$200=$A64)+($W$3:$W$200=$A64)+($X$3:$X$200=$A64)+($Y$3:$Y$200=$A64)+($Z$3:$Z$200=$A64)+($AA$3:$AA$200=$A64))&gt;0)),$L$3:$L$200),"PENDIENTE"))</f>
        <v>PENDIENTE</v>
      </c>
      <c r="G64" s="17" t="str">
        <f t="shared" si="1"/>
        <v>PENDIENTE</v>
      </c>
      <c r="H64" s="20"/>
      <c r="I64" s="20"/>
      <c r="J64" s="28" t="s">
        <v>228</v>
      </c>
      <c r="K64" s="29"/>
      <c r="L64" s="29"/>
      <c r="M64" s="29"/>
      <c r="N64" s="29"/>
      <c r="O64" s="29"/>
      <c r="P64" s="29"/>
      <c r="Q64" s="29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7.7" customHeight="1">
      <c r="A65" s="30" t="str">
        <f>IF(Producción!A65="","",Producción!A65)</f>
        <v>0079</v>
      </c>
      <c r="B65" s="17" t="str" cm="1">
        <f t="array" ref="B65">IF($A65="","",IFERROR(LOOKUP(2,1/(($K$3:$K$200="Soldadura")*((($M$3:$M$200=$A65)+($N$3:$N$200=$A65)+($O$3:$O$200=$A65)+($P$3:$P$200=$A65)+($Q$3:$Q$200=$A65)+($R$3:$R$200=$A65)+($S$3:$S$200=$A65)+($T$3:$T$200=$A65)+($U$3:$U$200=$A65)+($V$3:$V$200=$A65)+($W$3:$W$200=$A65)+($X$3:$X$200=$A65)+($Y$3:$Y$200=$A65)+($Z$3:$Z$200=$A65)+($AA$3:$AA$200=$A65))&gt;0)),$L$3:$L$200),"PENDIENTE"))</f>
        <v>PENDIENTE</v>
      </c>
      <c r="C65" s="17" t="str" cm="1">
        <f t="array" ref="C65">IF($A65="","",IFERROR(LOOKUP(2,1/(($K$3:$K$200="Programación")*((($M$3:$M$200=$A65)+($N$3:$N$200=$A65)+($O$3:$O$200=$A65)+($P$3:$P$200=$A65)+($Q$3:$Q$200=$A65)+($R$3:$R$200=$A65)+($S$3:$S$200=$A65)+($T$3:$T$200=$A65)+($U$3:$U$200=$A65)+($V$3:$V$200=$A65)+($W$3:$W$200=$A65)+($X$3:$X$200=$A65)+($Y$3:$Y$200=$A65)+($Z$3:$Z$200=$A65)+($AA$3:$AA$200=$A65))&gt;0)),$L$3:$L$200),"PENDIENTE"))</f>
        <v>PENDIENTE</v>
      </c>
      <c r="D65" s="17" t="str" cm="1">
        <f t="array" ref="D65">IF($A65="","",IFERROR(LOOKUP(2,1/(($K$3:$K$200="Prueba PCB")*((($M$3:$M$200=$A65)+($N$3:$N$200=$A65)+($O$3:$O$200=$A65)+($P$3:$P$200=$A65)+($Q$3:$Q$200=$A65)+($R$3:$R$200=$A65)+($S$3:$S$200=$A65)+($T$3:$T$200=$A65)+($U$3:$U$200=$A65)+($V$3:$V$200=$A65)+($W$3:$W$200=$A65)+($X$3:$X$200=$A65)+($Y$3:$Y$200=$A65)+($Z$3:$Z$200=$A65)+($AA$3:$AA$200=$A65))&gt;0)),$L$3:$L$200),"PENDIENTE"))</f>
        <v>PENDIENTE</v>
      </c>
      <c r="E65" s="17" t="str" cm="1">
        <f t="array" ref="E65">IF($A65="","",IFERROR(LOOKUP(2,1/(($K$3:$K$200="Integración")*((($M$3:$M$200=$A65)+($N$3:$N$200=$A65)+($O$3:$O$200=$A65)+($P$3:$P$200=$A65)+($Q$3:$Q$200=$A65)+($R$3:$R$200=$A65)+($S$3:$S$200=$A65)+($T$3:$T$200=$A65)+($U$3:$U$200=$A65)+($V$3:$V$200=$A65)+($W$3:$W$200=$A65)+($X$3:$X$200=$A65)+($Y$3:$Y$200=$A65)+($Z$3:$Z$200=$A65)+($AA$3:$AA$200=$A65))&gt;0)),$L$3:$L$200),"PENDIENTE"))</f>
        <v>PENDIENTE</v>
      </c>
      <c r="F65" s="17" t="str" cm="1">
        <f t="array" ref="F65">IF($A65="","",IFERROR(LOOKUP(2,1/(($K$3:$K$200="Prueba Final")*((($M$3:$M$200=$A65)+($N$3:$N$200=$A65)+($O$3:$O$200=$A65)+($P$3:$P$200=$A65)+($Q$3:$Q$200=$A65)+($R$3:$R$200=$A65)+($S$3:$S$200=$A65)+($T$3:$T$200=$A65)+($U$3:$U$200=$A65)+($V$3:$V$200=$A65)+($W$3:$W$200=$A65)+($X$3:$X$200=$A65)+($Y$3:$Y$200=$A65)+($Z$3:$Z$200=$A65)+($AA$3:$AA$200=$A65))&gt;0)),$L$3:$L$200),"PENDIENTE"))</f>
        <v>PENDIENTE</v>
      </c>
      <c r="G65" s="17" t="str">
        <f t="shared" si="1"/>
        <v>PENDIENTE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7.7" customHeight="1">
      <c r="A66" s="30" t="str">
        <f>IF(Producción!A66="","",Producción!A66)</f>
        <v>0080</v>
      </c>
      <c r="B66" s="17" t="str" cm="1">
        <f t="array" ref="B66">IF($A66="","",IFERROR(LOOKUP(2,1/(($K$3:$K$200="Soldadura")*((($M$3:$M$200=$A66)+($N$3:$N$200=$A66)+($O$3:$O$200=$A66)+($P$3:$P$200=$A66)+($Q$3:$Q$200=$A66)+($R$3:$R$200=$A66)+($S$3:$S$200=$A66)+($T$3:$T$200=$A66)+($U$3:$U$200=$A66)+($V$3:$V$200=$A66)+($W$3:$W$200=$A66)+($X$3:$X$200=$A66)+($Y$3:$Y$200=$A66)+($Z$3:$Z$200=$A66)+($AA$3:$AA$200=$A66))&gt;0)),$L$3:$L$200),"PENDIENTE"))</f>
        <v>PENDIENTE</v>
      </c>
      <c r="C66" s="17" t="str" cm="1">
        <f t="array" ref="C66">IF($A66="","",IFERROR(LOOKUP(2,1/(($K$3:$K$200="Programación")*((($M$3:$M$200=$A66)+($N$3:$N$200=$A66)+($O$3:$O$200=$A66)+($P$3:$P$200=$A66)+($Q$3:$Q$200=$A66)+($R$3:$R$200=$A66)+($S$3:$S$200=$A66)+($T$3:$T$200=$A66)+($U$3:$U$200=$A66)+($V$3:$V$200=$A66)+($W$3:$W$200=$A66)+($X$3:$X$200=$A66)+($Y$3:$Y$200=$A66)+($Z$3:$Z$200=$A66)+($AA$3:$AA$200=$A66))&gt;0)),$L$3:$L$200),"PENDIENTE"))</f>
        <v>PENDIENTE</v>
      </c>
      <c r="D66" s="17" t="str" cm="1">
        <f t="array" ref="D66">IF($A66="","",IFERROR(LOOKUP(2,1/(($K$3:$K$200="Prueba PCB")*((($M$3:$M$200=$A66)+($N$3:$N$200=$A66)+($O$3:$O$200=$A66)+($P$3:$P$200=$A66)+($Q$3:$Q$200=$A66)+($R$3:$R$200=$A66)+($S$3:$S$200=$A66)+($T$3:$T$200=$A66)+($U$3:$U$200=$A66)+($V$3:$V$200=$A66)+($W$3:$W$200=$A66)+($X$3:$X$200=$A66)+($Y$3:$Y$200=$A66)+($Z$3:$Z$200=$A66)+($AA$3:$AA$200=$A66))&gt;0)),$L$3:$L$200),"PENDIENTE"))</f>
        <v>PENDIENTE</v>
      </c>
      <c r="E66" s="17" t="str" cm="1">
        <f t="array" ref="E66">IF($A66="","",IFERROR(LOOKUP(2,1/(($K$3:$K$200="Integración")*((($M$3:$M$200=$A66)+($N$3:$N$200=$A66)+($O$3:$O$200=$A66)+($P$3:$P$200=$A66)+($Q$3:$Q$200=$A66)+($R$3:$R$200=$A66)+($S$3:$S$200=$A66)+($T$3:$T$200=$A66)+($U$3:$U$200=$A66)+($V$3:$V$200=$A66)+($W$3:$W$200=$A66)+($X$3:$X$200=$A66)+($Y$3:$Y$200=$A66)+($Z$3:$Z$200=$A66)+($AA$3:$AA$200=$A66))&gt;0)),$L$3:$L$200),"PENDIENTE"))</f>
        <v>PENDIENTE</v>
      </c>
      <c r="F66" s="17" t="str" cm="1">
        <f t="array" ref="F66">IF($A66="","",IFERROR(LOOKUP(2,1/(($K$3:$K$200="Prueba Final")*((($M$3:$M$200=$A66)+($N$3:$N$200=$A66)+($O$3:$O$200=$A66)+($P$3:$P$200=$A66)+($Q$3:$Q$200=$A66)+($R$3:$R$200=$A66)+($S$3:$S$200=$A66)+($T$3:$T$200=$A66)+($U$3:$U$200=$A66)+($V$3:$V$200=$A66)+($W$3:$W$200=$A66)+($X$3:$X$200=$A66)+($Y$3:$Y$200=$A66)+($Z$3:$Z$200=$A66)+($AA$3:$AA$200=$A66))&gt;0)),$L$3:$L$200),"PENDIENTE"))</f>
        <v>PENDIENTE</v>
      </c>
      <c r="G66" s="17" t="str">
        <f t="shared" ref="G66:G97" si="2">IF($A66="","",IF(COUNTIF(B66:F66,"FALLA")&gt;0,"DETENIDO",IF(COUNTIF(B66:F66,"RETRABAJO")&gt;0,"RETRABAJO",IF(COUNTIF(B66:F66,"OK")+COUNTIF(B66:F66,"NO APLICA")=5,"LIBERADO",IF(COUNTIF(B66:F66,"PENDIENTE")=5,"PENDIENTE","EN PROCESO")))))</f>
        <v>PENDIENTE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7.7" customHeight="1">
      <c r="A67" s="30" t="str">
        <f>IF(Producción!A67="","",Producción!A67)</f>
        <v>0081</v>
      </c>
      <c r="B67" s="17" t="str" cm="1">
        <f t="array" ref="B67">IF($A67="","",IFERROR(LOOKUP(2,1/(($K$3:$K$200="Soldadura")*((($M$3:$M$200=$A67)+($N$3:$N$200=$A67)+($O$3:$O$200=$A67)+($P$3:$P$200=$A67)+($Q$3:$Q$200=$A67)+($R$3:$R$200=$A67)+($S$3:$S$200=$A67)+($T$3:$T$200=$A67)+($U$3:$U$200=$A67)+($V$3:$V$200=$A67)+($W$3:$W$200=$A67)+($X$3:$X$200=$A67)+($Y$3:$Y$200=$A67)+($Z$3:$Z$200=$A67)+($AA$3:$AA$200=$A67))&gt;0)),$L$3:$L$200),"PENDIENTE"))</f>
        <v>PENDIENTE</v>
      </c>
      <c r="C67" s="17" t="str" cm="1">
        <f t="array" ref="C67">IF($A67="","",IFERROR(LOOKUP(2,1/(($K$3:$K$200="Programación")*((($M$3:$M$200=$A67)+($N$3:$N$200=$A67)+($O$3:$O$200=$A67)+($P$3:$P$200=$A67)+($Q$3:$Q$200=$A67)+($R$3:$R$200=$A67)+($S$3:$S$200=$A67)+($T$3:$T$200=$A67)+($U$3:$U$200=$A67)+($V$3:$V$200=$A67)+($W$3:$W$200=$A67)+($X$3:$X$200=$A67)+($Y$3:$Y$200=$A67)+($Z$3:$Z$200=$A67)+($AA$3:$AA$200=$A67))&gt;0)),$L$3:$L$200),"PENDIENTE"))</f>
        <v>PENDIENTE</v>
      </c>
      <c r="D67" s="17" t="str" cm="1">
        <f t="array" ref="D67">IF($A67="","",IFERROR(LOOKUP(2,1/(($K$3:$K$200="Prueba PCB")*((($M$3:$M$200=$A67)+($N$3:$N$200=$A67)+($O$3:$O$200=$A67)+($P$3:$P$200=$A67)+($Q$3:$Q$200=$A67)+($R$3:$R$200=$A67)+($S$3:$S$200=$A67)+($T$3:$T$200=$A67)+($U$3:$U$200=$A67)+($V$3:$V$200=$A67)+($W$3:$W$200=$A67)+($X$3:$X$200=$A67)+($Y$3:$Y$200=$A67)+($Z$3:$Z$200=$A67)+($AA$3:$AA$200=$A67))&gt;0)),$L$3:$L$200),"PENDIENTE"))</f>
        <v>PENDIENTE</v>
      </c>
      <c r="E67" s="17" t="str" cm="1">
        <f t="array" ref="E67">IF($A67="","",IFERROR(LOOKUP(2,1/(($K$3:$K$200="Integración")*((($M$3:$M$200=$A67)+($N$3:$N$200=$A67)+($O$3:$O$200=$A67)+($P$3:$P$200=$A67)+($Q$3:$Q$200=$A67)+($R$3:$R$200=$A67)+($S$3:$S$200=$A67)+($T$3:$T$200=$A67)+($U$3:$U$200=$A67)+($V$3:$V$200=$A67)+($W$3:$W$200=$A67)+($X$3:$X$200=$A67)+($Y$3:$Y$200=$A67)+($Z$3:$Z$200=$A67)+($AA$3:$AA$200=$A67))&gt;0)),$L$3:$L$200),"PENDIENTE"))</f>
        <v>PENDIENTE</v>
      </c>
      <c r="F67" s="17" t="str" cm="1">
        <f t="array" ref="F67">IF($A67="","",IFERROR(LOOKUP(2,1/(($K$3:$K$200="Prueba Final")*((($M$3:$M$200=$A67)+($N$3:$N$200=$A67)+($O$3:$O$200=$A67)+($P$3:$P$200=$A67)+($Q$3:$Q$200=$A67)+($R$3:$R$200=$A67)+($S$3:$S$200=$A67)+($T$3:$T$200=$A67)+($U$3:$U$200=$A67)+($V$3:$V$200=$A67)+($W$3:$W$200=$A67)+($X$3:$X$200=$A67)+($Y$3:$Y$200=$A67)+($Z$3:$Z$200=$A67)+($AA$3:$AA$200=$A67))&gt;0)),$L$3:$L$200),"PENDIENTE"))</f>
        <v>PENDIENTE</v>
      </c>
      <c r="G67" s="17" t="str">
        <f t="shared" si="2"/>
        <v>PENDIENTE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7.7" customHeight="1">
      <c r="A68" s="30" t="str">
        <f>IF(Producción!A68="","",Producción!A68)</f>
        <v>0083</v>
      </c>
      <c r="B68" s="17" t="str" cm="1">
        <f t="array" ref="B68">IF($A68="","",IFERROR(LOOKUP(2,1/(($K$3:$K$200="Soldadura")*((($M$3:$M$200=$A68)+($N$3:$N$200=$A68)+($O$3:$O$200=$A68)+($P$3:$P$200=$A68)+($Q$3:$Q$200=$A68)+($R$3:$R$200=$A68)+($S$3:$S$200=$A68)+($T$3:$T$200=$A68)+($U$3:$U$200=$A68)+($V$3:$V$200=$A68)+($W$3:$W$200=$A68)+($X$3:$X$200=$A68)+($Y$3:$Y$200=$A68)+($Z$3:$Z$200=$A68)+($AA$3:$AA$200=$A68))&gt;0)),$L$3:$L$200),"PENDIENTE"))</f>
        <v>PENDIENTE</v>
      </c>
      <c r="C68" s="17" t="str" cm="1">
        <f t="array" ref="C68">IF($A68="","",IFERROR(LOOKUP(2,1/(($K$3:$K$200="Programación")*((($M$3:$M$200=$A68)+($N$3:$N$200=$A68)+($O$3:$O$200=$A68)+($P$3:$P$200=$A68)+($Q$3:$Q$200=$A68)+($R$3:$R$200=$A68)+($S$3:$S$200=$A68)+($T$3:$T$200=$A68)+($U$3:$U$200=$A68)+($V$3:$V$200=$A68)+($W$3:$W$200=$A68)+($X$3:$X$200=$A68)+($Y$3:$Y$200=$A68)+($Z$3:$Z$200=$A68)+($AA$3:$AA$200=$A68))&gt;0)),$L$3:$L$200),"PENDIENTE"))</f>
        <v>PENDIENTE</v>
      </c>
      <c r="D68" s="17" t="str" cm="1">
        <f t="array" ref="D68">IF($A68="","",IFERROR(LOOKUP(2,1/(($K$3:$K$200="Prueba PCB")*((($M$3:$M$200=$A68)+($N$3:$N$200=$A68)+($O$3:$O$200=$A68)+($P$3:$P$200=$A68)+($Q$3:$Q$200=$A68)+($R$3:$R$200=$A68)+($S$3:$S$200=$A68)+($T$3:$T$200=$A68)+($U$3:$U$200=$A68)+($V$3:$V$200=$A68)+($W$3:$W$200=$A68)+($X$3:$X$200=$A68)+($Y$3:$Y$200=$A68)+($Z$3:$Z$200=$A68)+($AA$3:$AA$200=$A68))&gt;0)),$L$3:$L$200),"PENDIENTE"))</f>
        <v>PENDIENTE</v>
      </c>
      <c r="E68" s="17" t="str" cm="1">
        <f t="array" ref="E68">IF($A68="","",IFERROR(LOOKUP(2,1/(($K$3:$K$200="Integración")*((($M$3:$M$200=$A68)+($N$3:$N$200=$A68)+($O$3:$O$200=$A68)+($P$3:$P$200=$A68)+($Q$3:$Q$200=$A68)+($R$3:$R$200=$A68)+($S$3:$S$200=$A68)+($T$3:$T$200=$A68)+($U$3:$U$200=$A68)+($V$3:$V$200=$A68)+($W$3:$W$200=$A68)+($X$3:$X$200=$A68)+($Y$3:$Y$200=$A68)+($Z$3:$Z$200=$A68)+($AA$3:$AA$200=$A68))&gt;0)),$L$3:$L$200),"PENDIENTE"))</f>
        <v>PENDIENTE</v>
      </c>
      <c r="F68" s="17" t="str" cm="1">
        <f t="array" ref="F68">IF($A68="","",IFERROR(LOOKUP(2,1/(($K$3:$K$200="Prueba Final")*((($M$3:$M$200=$A68)+($N$3:$N$200=$A68)+($O$3:$O$200=$A68)+($P$3:$P$200=$A68)+($Q$3:$Q$200=$A68)+($R$3:$R$200=$A68)+($S$3:$S$200=$A68)+($T$3:$T$200=$A68)+($U$3:$U$200=$A68)+($V$3:$V$200=$A68)+($W$3:$W$200=$A68)+($X$3:$X$200=$A68)+($Y$3:$Y$200=$A68)+($Z$3:$Z$200=$A68)+($AA$3:$AA$200=$A68))&gt;0)),$L$3:$L$200),"PENDIENTE"))</f>
        <v>PENDIENTE</v>
      </c>
      <c r="G68" s="17" t="str">
        <f t="shared" si="2"/>
        <v>PENDIENTE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7.7" customHeight="1">
      <c r="A69" s="30" t="str">
        <f>IF(Producción!A69="","",Producción!A69)</f>
        <v>0084</v>
      </c>
      <c r="B69" s="17" t="str" cm="1">
        <f t="array" ref="B69">IF($A69="","",IFERROR(LOOKUP(2,1/(($K$3:$K$200="Soldadura")*((($M$3:$M$200=$A69)+($N$3:$N$200=$A69)+($O$3:$O$200=$A69)+($P$3:$P$200=$A69)+($Q$3:$Q$200=$A69)+($R$3:$R$200=$A69)+($S$3:$S$200=$A69)+($T$3:$T$200=$A69)+($U$3:$U$200=$A69)+($V$3:$V$200=$A69)+($W$3:$W$200=$A69)+($X$3:$X$200=$A69)+($Y$3:$Y$200=$A69)+($Z$3:$Z$200=$A69)+($AA$3:$AA$200=$A69))&gt;0)),$L$3:$L$200),"PENDIENTE"))</f>
        <v>PENDIENTE</v>
      </c>
      <c r="C69" s="17" t="str" cm="1">
        <f t="array" ref="C69">IF($A69="","",IFERROR(LOOKUP(2,1/(($K$3:$K$200="Programación")*((($M$3:$M$200=$A69)+($N$3:$N$200=$A69)+($O$3:$O$200=$A69)+($P$3:$P$200=$A69)+($Q$3:$Q$200=$A69)+($R$3:$R$200=$A69)+($S$3:$S$200=$A69)+($T$3:$T$200=$A69)+($U$3:$U$200=$A69)+($V$3:$V$200=$A69)+($W$3:$W$200=$A69)+($X$3:$X$200=$A69)+($Y$3:$Y$200=$A69)+($Z$3:$Z$200=$A69)+($AA$3:$AA$200=$A69))&gt;0)),$L$3:$L$200),"PENDIENTE"))</f>
        <v>PENDIENTE</v>
      </c>
      <c r="D69" s="17" t="str" cm="1">
        <f t="array" ref="D69">IF($A69="","",IFERROR(LOOKUP(2,1/(($K$3:$K$200="Prueba PCB")*((($M$3:$M$200=$A69)+($N$3:$N$200=$A69)+($O$3:$O$200=$A69)+($P$3:$P$200=$A69)+($Q$3:$Q$200=$A69)+($R$3:$R$200=$A69)+($S$3:$S$200=$A69)+($T$3:$T$200=$A69)+($U$3:$U$200=$A69)+($V$3:$V$200=$A69)+($W$3:$W$200=$A69)+($X$3:$X$200=$A69)+($Y$3:$Y$200=$A69)+($Z$3:$Z$200=$A69)+($AA$3:$AA$200=$A69))&gt;0)),$L$3:$L$200),"PENDIENTE"))</f>
        <v>PENDIENTE</v>
      </c>
      <c r="E69" s="17" t="str" cm="1">
        <f t="array" ref="E69">IF($A69="","",IFERROR(LOOKUP(2,1/(($K$3:$K$200="Integración")*((($M$3:$M$200=$A69)+($N$3:$N$200=$A69)+($O$3:$O$200=$A69)+($P$3:$P$200=$A69)+($Q$3:$Q$200=$A69)+($R$3:$R$200=$A69)+($S$3:$S$200=$A69)+($T$3:$T$200=$A69)+($U$3:$U$200=$A69)+($V$3:$V$200=$A69)+($W$3:$W$200=$A69)+($X$3:$X$200=$A69)+($Y$3:$Y$200=$A69)+($Z$3:$Z$200=$A69)+($AA$3:$AA$200=$A69))&gt;0)),$L$3:$L$200),"PENDIENTE"))</f>
        <v>PENDIENTE</v>
      </c>
      <c r="F69" s="17" t="str" cm="1">
        <f t="array" ref="F69">IF($A69="","",IFERROR(LOOKUP(2,1/(($K$3:$K$200="Prueba Final")*((($M$3:$M$200=$A69)+($N$3:$N$200=$A69)+($O$3:$O$200=$A69)+($P$3:$P$200=$A69)+($Q$3:$Q$200=$A69)+($R$3:$R$200=$A69)+($S$3:$S$200=$A69)+($T$3:$T$200=$A69)+($U$3:$U$200=$A69)+($V$3:$V$200=$A69)+($W$3:$W$200=$A69)+($X$3:$X$200=$A69)+($Y$3:$Y$200=$A69)+($Z$3:$Z$200=$A69)+($AA$3:$AA$200=$A69))&gt;0)),$L$3:$L$200),"PENDIENTE"))</f>
        <v>PENDIENTE</v>
      </c>
      <c r="G69" s="17" t="str">
        <f t="shared" si="2"/>
        <v>PENDIENTE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7.7" customHeight="1">
      <c r="A70" s="30" t="str">
        <f>IF(Producción!A70="","",Producción!A70)</f>
        <v>0085</v>
      </c>
      <c r="B70" s="17" t="str" cm="1">
        <f t="array" ref="B70">IF($A70="","",IFERROR(LOOKUP(2,1/(($K$3:$K$200="Soldadura")*((($M$3:$M$200=$A70)+($N$3:$N$200=$A70)+($O$3:$O$200=$A70)+($P$3:$P$200=$A70)+($Q$3:$Q$200=$A70)+($R$3:$R$200=$A70)+($S$3:$S$200=$A70)+($T$3:$T$200=$A70)+($U$3:$U$200=$A70)+($V$3:$V$200=$A70)+($W$3:$W$200=$A70)+($X$3:$X$200=$A70)+($Y$3:$Y$200=$A70)+($Z$3:$Z$200=$A70)+($AA$3:$AA$200=$A70))&gt;0)),$L$3:$L$200),"PENDIENTE"))</f>
        <v>PENDIENTE</v>
      </c>
      <c r="C70" s="17" t="str" cm="1">
        <f t="array" ref="C70">IF($A70="","",IFERROR(LOOKUP(2,1/(($K$3:$K$200="Programación")*((($M$3:$M$200=$A70)+($N$3:$N$200=$A70)+($O$3:$O$200=$A70)+($P$3:$P$200=$A70)+($Q$3:$Q$200=$A70)+($R$3:$R$200=$A70)+($S$3:$S$200=$A70)+($T$3:$T$200=$A70)+($U$3:$U$200=$A70)+($V$3:$V$200=$A70)+($W$3:$W$200=$A70)+($X$3:$X$200=$A70)+($Y$3:$Y$200=$A70)+($Z$3:$Z$200=$A70)+($AA$3:$AA$200=$A70))&gt;0)),$L$3:$L$200),"PENDIENTE"))</f>
        <v>PENDIENTE</v>
      </c>
      <c r="D70" s="17" t="str" cm="1">
        <f t="array" ref="D70">IF($A70="","",IFERROR(LOOKUP(2,1/(($K$3:$K$200="Prueba PCB")*((($M$3:$M$200=$A70)+($N$3:$N$200=$A70)+($O$3:$O$200=$A70)+($P$3:$P$200=$A70)+($Q$3:$Q$200=$A70)+($R$3:$R$200=$A70)+($S$3:$S$200=$A70)+($T$3:$T$200=$A70)+($U$3:$U$200=$A70)+($V$3:$V$200=$A70)+($W$3:$W$200=$A70)+($X$3:$X$200=$A70)+($Y$3:$Y$200=$A70)+($Z$3:$Z$200=$A70)+($AA$3:$AA$200=$A70))&gt;0)),$L$3:$L$200),"PENDIENTE"))</f>
        <v>PENDIENTE</v>
      </c>
      <c r="E70" s="17" t="str" cm="1">
        <f t="array" ref="E70">IF($A70="","",IFERROR(LOOKUP(2,1/(($K$3:$K$200="Integración")*((($M$3:$M$200=$A70)+($N$3:$N$200=$A70)+($O$3:$O$200=$A70)+($P$3:$P$200=$A70)+($Q$3:$Q$200=$A70)+($R$3:$R$200=$A70)+($S$3:$S$200=$A70)+($T$3:$T$200=$A70)+($U$3:$U$200=$A70)+($V$3:$V$200=$A70)+($W$3:$W$200=$A70)+($X$3:$X$200=$A70)+($Y$3:$Y$200=$A70)+($Z$3:$Z$200=$A70)+($AA$3:$AA$200=$A70))&gt;0)),$L$3:$L$200),"PENDIENTE"))</f>
        <v>PENDIENTE</v>
      </c>
      <c r="F70" s="17" t="str" cm="1">
        <f t="array" ref="F70">IF($A70="","",IFERROR(LOOKUP(2,1/(($K$3:$K$200="Prueba Final")*((($M$3:$M$200=$A70)+($N$3:$N$200=$A70)+($O$3:$O$200=$A70)+($P$3:$P$200=$A70)+($Q$3:$Q$200=$A70)+($R$3:$R$200=$A70)+($S$3:$S$200=$A70)+($T$3:$T$200=$A70)+($U$3:$U$200=$A70)+($V$3:$V$200=$A70)+($W$3:$W$200=$A70)+($X$3:$X$200=$A70)+($Y$3:$Y$200=$A70)+($Z$3:$Z$200=$A70)+($AA$3:$AA$200=$A70))&gt;0)),$L$3:$L$200),"PENDIENTE"))</f>
        <v>PENDIENTE</v>
      </c>
      <c r="G70" s="17" t="str">
        <f t="shared" si="2"/>
        <v>PENDIENTE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7.7" customHeight="1">
      <c r="A71" s="30" t="str">
        <f>IF(Producción!A71="","",Producción!A71)</f>
        <v>0086</v>
      </c>
      <c r="B71" s="17" t="str" cm="1">
        <f t="array" ref="B71">IF($A71="","",IFERROR(LOOKUP(2,1/(($K$3:$K$200="Soldadura")*((($M$3:$M$200=$A71)+($N$3:$N$200=$A71)+($O$3:$O$200=$A71)+($P$3:$P$200=$A71)+($Q$3:$Q$200=$A71)+($R$3:$R$200=$A71)+($S$3:$S$200=$A71)+($T$3:$T$200=$A71)+($U$3:$U$200=$A71)+($V$3:$V$200=$A71)+($W$3:$W$200=$A71)+($X$3:$X$200=$A71)+($Y$3:$Y$200=$A71)+($Z$3:$Z$200=$A71)+($AA$3:$AA$200=$A71))&gt;0)),$L$3:$L$200),"PENDIENTE"))</f>
        <v>PENDIENTE</v>
      </c>
      <c r="C71" s="17" t="str" cm="1">
        <f t="array" ref="C71">IF($A71="","",IFERROR(LOOKUP(2,1/(($K$3:$K$200="Programación")*((($M$3:$M$200=$A71)+($N$3:$N$200=$A71)+($O$3:$O$200=$A71)+($P$3:$P$200=$A71)+($Q$3:$Q$200=$A71)+($R$3:$R$200=$A71)+($S$3:$S$200=$A71)+($T$3:$T$200=$A71)+($U$3:$U$200=$A71)+($V$3:$V$200=$A71)+($W$3:$W$200=$A71)+($X$3:$X$200=$A71)+($Y$3:$Y$200=$A71)+($Z$3:$Z$200=$A71)+($AA$3:$AA$200=$A71))&gt;0)),$L$3:$L$200),"PENDIENTE"))</f>
        <v>PENDIENTE</v>
      </c>
      <c r="D71" s="17" t="str" cm="1">
        <f t="array" ref="D71">IF($A71="","",IFERROR(LOOKUP(2,1/(($K$3:$K$200="Prueba PCB")*((($M$3:$M$200=$A71)+($N$3:$N$200=$A71)+($O$3:$O$200=$A71)+($P$3:$P$200=$A71)+($Q$3:$Q$200=$A71)+($R$3:$R$200=$A71)+($S$3:$S$200=$A71)+($T$3:$T$200=$A71)+($U$3:$U$200=$A71)+($V$3:$V$200=$A71)+($W$3:$W$200=$A71)+($X$3:$X$200=$A71)+($Y$3:$Y$200=$A71)+($Z$3:$Z$200=$A71)+($AA$3:$AA$200=$A71))&gt;0)),$L$3:$L$200),"PENDIENTE"))</f>
        <v>PENDIENTE</v>
      </c>
      <c r="E71" s="17" t="str" cm="1">
        <f t="array" ref="E71">IF($A71="","",IFERROR(LOOKUP(2,1/(($K$3:$K$200="Integración")*((($M$3:$M$200=$A71)+($N$3:$N$200=$A71)+($O$3:$O$200=$A71)+($P$3:$P$200=$A71)+($Q$3:$Q$200=$A71)+($R$3:$R$200=$A71)+($S$3:$S$200=$A71)+($T$3:$T$200=$A71)+($U$3:$U$200=$A71)+($V$3:$V$200=$A71)+($W$3:$W$200=$A71)+($X$3:$X$200=$A71)+($Y$3:$Y$200=$A71)+($Z$3:$Z$200=$A71)+($AA$3:$AA$200=$A71))&gt;0)),$L$3:$L$200),"PENDIENTE"))</f>
        <v>PENDIENTE</v>
      </c>
      <c r="F71" s="17" t="str" cm="1">
        <f t="array" ref="F71">IF($A71="","",IFERROR(LOOKUP(2,1/(($K$3:$K$200="Prueba Final")*((($M$3:$M$200=$A71)+($N$3:$N$200=$A71)+($O$3:$O$200=$A71)+($P$3:$P$200=$A71)+($Q$3:$Q$200=$A71)+($R$3:$R$200=$A71)+($S$3:$S$200=$A71)+($T$3:$T$200=$A71)+($U$3:$U$200=$A71)+($V$3:$V$200=$A71)+($W$3:$W$200=$A71)+($X$3:$X$200=$A71)+($Y$3:$Y$200=$A71)+($Z$3:$Z$200=$A71)+($AA$3:$AA$200=$A71))&gt;0)),$L$3:$L$200),"PENDIENTE"))</f>
        <v>PENDIENTE</v>
      </c>
      <c r="G71" s="17" t="str">
        <f t="shared" si="2"/>
        <v>PENDIENTE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7.7" customHeight="1">
      <c r="A72" s="30" t="str">
        <f>IF(Producción!A72="","",Producción!A72)</f>
        <v>0087</v>
      </c>
      <c r="B72" s="17" t="str" cm="1">
        <f t="array" ref="B72">IF($A72="","",IFERROR(LOOKUP(2,1/(($K$3:$K$200="Soldadura")*((($M$3:$M$200=$A72)+($N$3:$N$200=$A72)+($O$3:$O$200=$A72)+($P$3:$P$200=$A72)+($Q$3:$Q$200=$A72)+($R$3:$R$200=$A72)+($S$3:$S$200=$A72)+($T$3:$T$200=$A72)+($U$3:$U$200=$A72)+($V$3:$V$200=$A72)+($W$3:$W$200=$A72)+($X$3:$X$200=$A72)+($Y$3:$Y$200=$A72)+($Z$3:$Z$200=$A72)+($AA$3:$AA$200=$A72))&gt;0)),$L$3:$L$200),"PENDIENTE"))</f>
        <v>PENDIENTE</v>
      </c>
      <c r="C72" s="17" t="str" cm="1">
        <f t="array" ref="C72">IF($A72="","",IFERROR(LOOKUP(2,1/(($K$3:$K$200="Programación")*((($M$3:$M$200=$A72)+($N$3:$N$200=$A72)+($O$3:$O$200=$A72)+($P$3:$P$200=$A72)+($Q$3:$Q$200=$A72)+($R$3:$R$200=$A72)+($S$3:$S$200=$A72)+($T$3:$T$200=$A72)+($U$3:$U$200=$A72)+($V$3:$V$200=$A72)+($W$3:$W$200=$A72)+($X$3:$X$200=$A72)+($Y$3:$Y$200=$A72)+($Z$3:$Z$200=$A72)+($AA$3:$AA$200=$A72))&gt;0)),$L$3:$L$200),"PENDIENTE"))</f>
        <v>PENDIENTE</v>
      </c>
      <c r="D72" s="17" t="str" cm="1">
        <f t="array" ref="D72">IF($A72="","",IFERROR(LOOKUP(2,1/(($K$3:$K$200="Prueba PCB")*((($M$3:$M$200=$A72)+($N$3:$N$200=$A72)+($O$3:$O$200=$A72)+($P$3:$P$200=$A72)+($Q$3:$Q$200=$A72)+($R$3:$R$200=$A72)+($S$3:$S$200=$A72)+($T$3:$T$200=$A72)+($U$3:$U$200=$A72)+($V$3:$V$200=$A72)+($W$3:$W$200=$A72)+($X$3:$X$200=$A72)+($Y$3:$Y$200=$A72)+($Z$3:$Z$200=$A72)+($AA$3:$AA$200=$A72))&gt;0)),$L$3:$L$200),"PENDIENTE"))</f>
        <v>PENDIENTE</v>
      </c>
      <c r="E72" s="17" t="str" cm="1">
        <f t="array" ref="E72">IF($A72="","",IFERROR(LOOKUP(2,1/(($K$3:$K$200="Integración")*((($M$3:$M$200=$A72)+($N$3:$N$200=$A72)+($O$3:$O$200=$A72)+($P$3:$P$200=$A72)+($Q$3:$Q$200=$A72)+($R$3:$R$200=$A72)+($S$3:$S$200=$A72)+($T$3:$T$200=$A72)+($U$3:$U$200=$A72)+($V$3:$V$200=$A72)+($W$3:$W$200=$A72)+($X$3:$X$200=$A72)+($Y$3:$Y$200=$A72)+($Z$3:$Z$200=$A72)+($AA$3:$AA$200=$A72))&gt;0)),$L$3:$L$200),"PENDIENTE"))</f>
        <v>PENDIENTE</v>
      </c>
      <c r="F72" s="17" t="str" cm="1">
        <f t="array" ref="F72">IF($A72="","",IFERROR(LOOKUP(2,1/(($K$3:$K$200="Prueba Final")*((($M$3:$M$200=$A72)+($N$3:$N$200=$A72)+($O$3:$O$200=$A72)+($P$3:$P$200=$A72)+($Q$3:$Q$200=$A72)+($R$3:$R$200=$A72)+($S$3:$S$200=$A72)+($T$3:$T$200=$A72)+($U$3:$U$200=$A72)+($V$3:$V$200=$A72)+($W$3:$W$200=$A72)+($X$3:$X$200=$A72)+($Y$3:$Y$200=$A72)+($Z$3:$Z$200=$A72)+($AA$3:$AA$200=$A72))&gt;0)),$L$3:$L$200),"PENDIENTE"))</f>
        <v>PENDIENTE</v>
      </c>
      <c r="G72" s="17" t="str">
        <f t="shared" si="2"/>
        <v>PENDIENTE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7.7" customHeight="1">
      <c r="A73" s="30" t="str">
        <f>IF(Producción!A73="","",Producción!A73)</f>
        <v>0089</v>
      </c>
      <c r="B73" s="17" t="str" cm="1">
        <f t="array" ref="B73">IF($A73="","",IFERROR(LOOKUP(2,1/(($K$3:$K$200="Soldadura")*((($M$3:$M$200=$A73)+($N$3:$N$200=$A73)+($O$3:$O$200=$A73)+($P$3:$P$200=$A73)+($Q$3:$Q$200=$A73)+($R$3:$R$200=$A73)+($S$3:$S$200=$A73)+($T$3:$T$200=$A73)+($U$3:$U$200=$A73)+($V$3:$V$200=$A73)+($W$3:$W$200=$A73)+($X$3:$X$200=$A73)+($Y$3:$Y$200=$A73)+($Z$3:$Z$200=$A73)+($AA$3:$AA$200=$A73))&gt;0)),$L$3:$L$200),"PENDIENTE"))</f>
        <v>PENDIENTE</v>
      </c>
      <c r="C73" s="17" t="str" cm="1">
        <f t="array" ref="C73">IF($A73="","",IFERROR(LOOKUP(2,1/(($K$3:$K$200="Programación")*((($M$3:$M$200=$A73)+($N$3:$N$200=$A73)+($O$3:$O$200=$A73)+($P$3:$P$200=$A73)+($Q$3:$Q$200=$A73)+($R$3:$R$200=$A73)+($S$3:$S$200=$A73)+($T$3:$T$200=$A73)+($U$3:$U$200=$A73)+($V$3:$V$200=$A73)+($W$3:$W$200=$A73)+($X$3:$X$200=$A73)+($Y$3:$Y$200=$A73)+($Z$3:$Z$200=$A73)+($AA$3:$AA$200=$A73))&gt;0)),$L$3:$L$200),"PENDIENTE"))</f>
        <v>PENDIENTE</v>
      </c>
      <c r="D73" s="17" t="str" cm="1">
        <f t="array" ref="D73">IF($A73="","",IFERROR(LOOKUP(2,1/(($K$3:$K$200="Prueba PCB")*((($M$3:$M$200=$A73)+($N$3:$N$200=$A73)+($O$3:$O$200=$A73)+($P$3:$P$200=$A73)+($Q$3:$Q$200=$A73)+($R$3:$R$200=$A73)+($S$3:$S$200=$A73)+($T$3:$T$200=$A73)+($U$3:$U$200=$A73)+($V$3:$V$200=$A73)+($W$3:$W$200=$A73)+($X$3:$X$200=$A73)+($Y$3:$Y$200=$A73)+($Z$3:$Z$200=$A73)+($AA$3:$AA$200=$A73))&gt;0)),$L$3:$L$200),"PENDIENTE"))</f>
        <v>PENDIENTE</v>
      </c>
      <c r="E73" s="17" t="str" cm="1">
        <f t="array" ref="E73">IF($A73="","",IFERROR(LOOKUP(2,1/(($K$3:$K$200="Integración")*((($M$3:$M$200=$A73)+($N$3:$N$200=$A73)+($O$3:$O$200=$A73)+($P$3:$P$200=$A73)+($Q$3:$Q$200=$A73)+($R$3:$R$200=$A73)+($S$3:$S$200=$A73)+($T$3:$T$200=$A73)+($U$3:$U$200=$A73)+($V$3:$V$200=$A73)+($W$3:$W$200=$A73)+($X$3:$X$200=$A73)+($Y$3:$Y$200=$A73)+($Z$3:$Z$200=$A73)+($AA$3:$AA$200=$A73))&gt;0)),$L$3:$L$200),"PENDIENTE"))</f>
        <v>PENDIENTE</v>
      </c>
      <c r="F73" s="17" t="str" cm="1">
        <f t="array" ref="F73">IF($A73="","",IFERROR(LOOKUP(2,1/(($K$3:$K$200="Prueba Final")*((($M$3:$M$200=$A73)+($N$3:$N$200=$A73)+($O$3:$O$200=$A73)+($P$3:$P$200=$A73)+($Q$3:$Q$200=$A73)+($R$3:$R$200=$A73)+($S$3:$S$200=$A73)+($T$3:$T$200=$A73)+($U$3:$U$200=$A73)+($V$3:$V$200=$A73)+($W$3:$W$200=$A73)+($X$3:$X$200=$A73)+($Y$3:$Y$200=$A73)+($Z$3:$Z$200=$A73)+($AA$3:$AA$200=$A73))&gt;0)),$L$3:$L$200),"PENDIENTE"))</f>
        <v>PENDIENTE</v>
      </c>
      <c r="G73" s="17" t="str">
        <f t="shared" si="2"/>
        <v>PENDIENTE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7.7" customHeight="1">
      <c r="A74" s="30" t="str">
        <f>IF(Producción!A74="","",Producción!A74)</f>
        <v>0092</v>
      </c>
      <c r="B74" s="17" t="str" cm="1">
        <f t="array" ref="B74">IF($A74="","",IFERROR(LOOKUP(2,1/(($K$3:$K$200="Soldadura")*((($M$3:$M$200=$A74)+($N$3:$N$200=$A74)+($O$3:$O$200=$A74)+($P$3:$P$200=$A74)+($Q$3:$Q$200=$A74)+($R$3:$R$200=$A74)+($S$3:$S$200=$A74)+($T$3:$T$200=$A74)+($U$3:$U$200=$A74)+($V$3:$V$200=$A74)+($W$3:$W$200=$A74)+($X$3:$X$200=$A74)+($Y$3:$Y$200=$A74)+($Z$3:$Z$200=$A74)+($AA$3:$AA$200=$A74))&gt;0)),$L$3:$L$200),"PENDIENTE"))</f>
        <v>PENDIENTE</v>
      </c>
      <c r="C74" s="17" t="str" cm="1">
        <f t="array" ref="C74">IF($A74="","",IFERROR(LOOKUP(2,1/(($K$3:$K$200="Programación")*((($M$3:$M$200=$A74)+($N$3:$N$200=$A74)+($O$3:$O$200=$A74)+($P$3:$P$200=$A74)+($Q$3:$Q$200=$A74)+($R$3:$R$200=$A74)+($S$3:$S$200=$A74)+($T$3:$T$200=$A74)+($U$3:$U$200=$A74)+($V$3:$V$200=$A74)+($W$3:$W$200=$A74)+($X$3:$X$200=$A74)+($Y$3:$Y$200=$A74)+($Z$3:$Z$200=$A74)+($AA$3:$AA$200=$A74))&gt;0)),$L$3:$L$200),"PENDIENTE"))</f>
        <v>PENDIENTE</v>
      </c>
      <c r="D74" s="17" t="str" cm="1">
        <f t="array" ref="D74">IF($A74="","",IFERROR(LOOKUP(2,1/(($K$3:$K$200="Prueba PCB")*((($M$3:$M$200=$A74)+($N$3:$N$200=$A74)+($O$3:$O$200=$A74)+($P$3:$P$200=$A74)+($Q$3:$Q$200=$A74)+($R$3:$R$200=$A74)+($S$3:$S$200=$A74)+($T$3:$T$200=$A74)+($U$3:$U$200=$A74)+($V$3:$V$200=$A74)+($W$3:$W$200=$A74)+($X$3:$X$200=$A74)+($Y$3:$Y$200=$A74)+($Z$3:$Z$200=$A74)+($AA$3:$AA$200=$A74))&gt;0)),$L$3:$L$200),"PENDIENTE"))</f>
        <v>PENDIENTE</v>
      </c>
      <c r="E74" s="17" t="str" cm="1">
        <f t="array" ref="E74">IF($A74="","",IFERROR(LOOKUP(2,1/(($K$3:$K$200="Integración")*((($M$3:$M$200=$A74)+($N$3:$N$200=$A74)+($O$3:$O$200=$A74)+($P$3:$P$200=$A74)+($Q$3:$Q$200=$A74)+($R$3:$R$200=$A74)+($S$3:$S$200=$A74)+($T$3:$T$200=$A74)+($U$3:$U$200=$A74)+($V$3:$V$200=$A74)+($W$3:$W$200=$A74)+($X$3:$X$200=$A74)+($Y$3:$Y$200=$A74)+($Z$3:$Z$200=$A74)+($AA$3:$AA$200=$A74))&gt;0)),$L$3:$L$200),"PENDIENTE"))</f>
        <v>PENDIENTE</v>
      </c>
      <c r="F74" s="17" t="str" cm="1">
        <f t="array" ref="F74">IF($A74="","",IFERROR(LOOKUP(2,1/(($K$3:$K$200="Prueba Final")*((($M$3:$M$200=$A74)+($N$3:$N$200=$A74)+($O$3:$O$200=$A74)+($P$3:$P$200=$A74)+($Q$3:$Q$200=$A74)+($R$3:$R$200=$A74)+($S$3:$S$200=$A74)+($T$3:$T$200=$A74)+($U$3:$U$200=$A74)+($V$3:$V$200=$A74)+($W$3:$W$200=$A74)+($X$3:$X$200=$A74)+($Y$3:$Y$200=$A74)+($Z$3:$Z$200=$A74)+($AA$3:$AA$200=$A74))&gt;0)),$L$3:$L$200),"PENDIENTE"))</f>
        <v>PENDIENTE</v>
      </c>
      <c r="G74" s="17" t="str">
        <f t="shared" si="2"/>
        <v>PENDIENTE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7.7" customHeight="1">
      <c r="A75" s="30" t="str">
        <f>IF(Producción!A75="","",Producción!A75)</f>
        <v>0093</v>
      </c>
      <c r="B75" s="17" t="str" cm="1">
        <f t="array" ref="B75">IF($A75="","",IFERROR(LOOKUP(2,1/(($K$3:$K$200="Soldadura")*((($M$3:$M$200=$A75)+($N$3:$N$200=$A75)+($O$3:$O$200=$A75)+($P$3:$P$200=$A75)+($Q$3:$Q$200=$A75)+($R$3:$R$200=$A75)+($S$3:$S$200=$A75)+($T$3:$T$200=$A75)+($U$3:$U$200=$A75)+($V$3:$V$200=$A75)+($W$3:$W$200=$A75)+($X$3:$X$200=$A75)+($Y$3:$Y$200=$A75)+($Z$3:$Z$200=$A75)+($AA$3:$AA$200=$A75))&gt;0)),$L$3:$L$200),"PENDIENTE"))</f>
        <v>PENDIENTE</v>
      </c>
      <c r="C75" s="17" t="str" cm="1">
        <f t="array" ref="C75">IF($A75="","",IFERROR(LOOKUP(2,1/(($K$3:$K$200="Programación")*((($M$3:$M$200=$A75)+($N$3:$N$200=$A75)+($O$3:$O$200=$A75)+($P$3:$P$200=$A75)+($Q$3:$Q$200=$A75)+($R$3:$R$200=$A75)+($S$3:$S$200=$A75)+($T$3:$T$200=$A75)+($U$3:$U$200=$A75)+($V$3:$V$200=$A75)+($W$3:$W$200=$A75)+($X$3:$X$200=$A75)+($Y$3:$Y$200=$A75)+($Z$3:$Z$200=$A75)+($AA$3:$AA$200=$A75))&gt;0)),$L$3:$L$200),"PENDIENTE"))</f>
        <v>PENDIENTE</v>
      </c>
      <c r="D75" s="17" t="str" cm="1">
        <f t="array" ref="D75">IF($A75="","",IFERROR(LOOKUP(2,1/(($K$3:$K$200="Prueba PCB")*((($M$3:$M$200=$A75)+($N$3:$N$200=$A75)+($O$3:$O$200=$A75)+($P$3:$P$200=$A75)+($Q$3:$Q$200=$A75)+($R$3:$R$200=$A75)+($S$3:$S$200=$A75)+($T$3:$T$200=$A75)+($U$3:$U$200=$A75)+($V$3:$V$200=$A75)+($W$3:$W$200=$A75)+($X$3:$X$200=$A75)+($Y$3:$Y$200=$A75)+($Z$3:$Z$200=$A75)+($AA$3:$AA$200=$A75))&gt;0)),$L$3:$L$200),"PENDIENTE"))</f>
        <v>PENDIENTE</v>
      </c>
      <c r="E75" s="17" t="str" cm="1">
        <f t="array" ref="E75">IF($A75="","",IFERROR(LOOKUP(2,1/(($K$3:$K$200="Integración")*((($M$3:$M$200=$A75)+($N$3:$N$200=$A75)+($O$3:$O$200=$A75)+($P$3:$P$200=$A75)+($Q$3:$Q$200=$A75)+($R$3:$R$200=$A75)+($S$3:$S$200=$A75)+($T$3:$T$200=$A75)+($U$3:$U$200=$A75)+($V$3:$V$200=$A75)+($W$3:$W$200=$A75)+($X$3:$X$200=$A75)+($Y$3:$Y$200=$A75)+($Z$3:$Z$200=$A75)+($AA$3:$AA$200=$A75))&gt;0)),$L$3:$L$200),"PENDIENTE"))</f>
        <v>PENDIENTE</v>
      </c>
      <c r="F75" s="17" t="str" cm="1">
        <f t="array" ref="F75">IF($A75="","",IFERROR(LOOKUP(2,1/(($K$3:$K$200="Prueba Final")*((($M$3:$M$200=$A75)+($N$3:$N$200=$A75)+($O$3:$O$200=$A75)+($P$3:$P$200=$A75)+($Q$3:$Q$200=$A75)+($R$3:$R$200=$A75)+($S$3:$S$200=$A75)+($T$3:$T$200=$A75)+($U$3:$U$200=$A75)+($V$3:$V$200=$A75)+($W$3:$W$200=$A75)+($X$3:$X$200=$A75)+($Y$3:$Y$200=$A75)+($Z$3:$Z$200=$A75)+($AA$3:$AA$200=$A75))&gt;0)),$L$3:$L$200),"PENDIENTE"))</f>
        <v>PENDIENTE</v>
      </c>
      <c r="G75" s="17" t="str">
        <f t="shared" si="2"/>
        <v>PENDIENTE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7.7" customHeight="1">
      <c r="A76" s="30" t="str">
        <f>IF(Producción!A76="","",Producción!A76)</f>
        <v>0094</v>
      </c>
      <c r="B76" s="17" t="str" cm="1">
        <f t="array" ref="B76">IF($A76="","",IFERROR(LOOKUP(2,1/(($K$3:$K$200="Soldadura")*((($M$3:$M$200=$A76)+($N$3:$N$200=$A76)+($O$3:$O$200=$A76)+($P$3:$P$200=$A76)+($Q$3:$Q$200=$A76)+($R$3:$R$200=$A76)+($S$3:$S$200=$A76)+($T$3:$T$200=$A76)+($U$3:$U$200=$A76)+($V$3:$V$200=$A76)+($W$3:$W$200=$A76)+($X$3:$X$200=$A76)+($Y$3:$Y$200=$A76)+($Z$3:$Z$200=$A76)+($AA$3:$AA$200=$A76))&gt;0)),$L$3:$L$200),"PENDIENTE"))</f>
        <v>PENDIENTE</v>
      </c>
      <c r="C76" s="17" t="str" cm="1">
        <f t="array" ref="C76">IF($A76="","",IFERROR(LOOKUP(2,1/(($K$3:$K$200="Programación")*((($M$3:$M$200=$A76)+($N$3:$N$200=$A76)+($O$3:$O$200=$A76)+($P$3:$P$200=$A76)+($Q$3:$Q$200=$A76)+($R$3:$R$200=$A76)+($S$3:$S$200=$A76)+($T$3:$T$200=$A76)+($U$3:$U$200=$A76)+($V$3:$V$200=$A76)+($W$3:$W$200=$A76)+($X$3:$X$200=$A76)+($Y$3:$Y$200=$A76)+($Z$3:$Z$200=$A76)+($AA$3:$AA$200=$A76))&gt;0)),$L$3:$L$200),"PENDIENTE"))</f>
        <v>PENDIENTE</v>
      </c>
      <c r="D76" s="17" t="str" cm="1">
        <f t="array" ref="D76">IF($A76="","",IFERROR(LOOKUP(2,1/(($K$3:$K$200="Prueba PCB")*((($M$3:$M$200=$A76)+($N$3:$N$200=$A76)+($O$3:$O$200=$A76)+($P$3:$P$200=$A76)+($Q$3:$Q$200=$A76)+($R$3:$R$200=$A76)+($S$3:$S$200=$A76)+($T$3:$T$200=$A76)+($U$3:$U$200=$A76)+($V$3:$V$200=$A76)+($W$3:$W$200=$A76)+($X$3:$X$200=$A76)+($Y$3:$Y$200=$A76)+($Z$3:$Z$200=$A76)+($AA$3:$AA$200=$A76))&gt;0)),$L$3:$L$200),"PENDIENTE"))</f>
        <v>PENDIENTE</v>
      </c>
      <c r="E76" s="17" t="str" cm="1">
        <f t="array" ref="E76">IF($A76="","",IFERROR(LOOKUP(2,1/(($K$3:$K$200="Integración")*((($M$3:$M$200=$A76)+($N$3:$N$200=$A76)+($O$3:$O$200=$A76)+($P$3:$P$200=$A76)+($Q$3:$Q$200=$A76)+($R$3:$R$200=$A76)+($S$3:$S$200=$A76)+($T$3:$T$200=$A76)+($U$3:$U$200=$A76)+($V$3:$V$200=$A76)+($W$3:$W$200=$A76)+($X$3:$X$200=$A76)+($Y$3:$Y$200=$A76)+($Z$3:$Z$200=$A76)+($AA$3:$AA$200=$A76))&gt;0)),$L$3:$L$200),"PENDIENTE"))</f>
        <v>PENDIENTE</v>
      </c>
      <c r="F76" s="17" t="str" cm="1">
        <f t="array" ref="F76">IF($A76="","",IFERROR(LOOKUP(2,1/(($K$3:$K$200="Prueba Final")*((($M$3:$M$200=$A76)+($N$3:$N$200=$A76)+($O$3:$O$200=$A76)+($P$3:$P$200=$A76)+($Q$3:$Q$200=$A76)+($R$3:$R$200=$A76)+($S$3:$S$200=$A76)+($T$3:$T$200=$A76)+($U$3:$U$200=$A76)+($V$3:$V$200=$A76)+($W$3:$W$200=$A76)+($X$3:$X$200=$A76)+($Y$3:$Y$200=$A76)+($Z$3:$Z$200=$A76)+($AA$3:$AA$200=$A76))&gt;0)),$L$3:$L$200),"PENDIENTE"))</f>
        <v>PENDIENTE</v>
      </c>
      <c r="G76" s="17" t="str">
        <f t="shared" si="2"/>
        <v>PENDIENTE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7.7" customHeight="1">
      <c r="A77" s="30" t="str">
        <f>IF(Producción!A77="","",Producción!A77)</f>
        <v>0098</v>
      </c>
      <c r="B77" s="17" t="str" cm="1">
        <f t="array" ref="B77">IF($A77="","",IFERROR(LOOKUP(2,1/(($K$3:$K$200="Soldadura")*((($M$3:$M$200=$A77)+($N$3:$N$200=$A77)+($O$3:$O$200=$A77)+($P$3:$P$200=$A77)+($Q$3:$Q$200=$A77)+($R$3:$R$200=$A77)+($S$3:$S$200=$A77)+($T$3:$T$200=$A77)+($U$3:$U$200=$A77)+($V$3:$V$200=$A77)+($W$3:$W$200=$A77)+($X$3:$X$200=$A77)+($Y$3:$Y$200=$A77)+($Z$3:$Z$200=$A77)+($AA$3:$AA$200=$A77))&gt;0)),$L$3:$L$200),"PENDIENTE"))</f>
        <v>PENDIENTE</v>
      </c>
      <c r="C77" s="17" t="str" cm="1">
        <f t="array" ref="C77">IF($A77="","",IFERROR(LOOKUP(2,1/(($K$3:$K$200="Programación")*((($M$3:$M$200=$A77)+($N$3:$N$200=$A77)+($O$3:$O$200=$A77)+($P$3:$P$200=$A77)+($Q$3:$Q$200=$A77)+($R$3:$R$200=$A77)+($S$3:$S$200=$A77)+($T$3:$T$200=$A77)+($U$3:$U$200=$A77)+($V$3:$V$200=$A77)+($W$3:$W$200=$A77)+($X$3:$X$200=$A77)+($Y$3:$Y$200=$A77)+($Z$3:$Z$200=$A77)+($AA$3:$AA$200=$A77))&gt;0)),$L$3:$L$200),"PENDIENTE"))</f>
        <v>PENDIENTE</v>
      </c>
      <c r="D77" s="17" t="str" cm="1">
        <f t="array" ref="D77">IF($A77="","",IFERROR(LOOKUP(2,1/(($K$3:$K$200="Prueba PCB")*((($M$3:$M$200=$A77)+($N$3:$N$200=$A77)+($O$3:$O$200=$A77)+($P$3:$P$200=$A77)+($Q$3:$Q$200=$A77)+($R$3:$R$200=$A77)+($S$3:$S$200=$A77)+($T$3:$T$200=$A77)+($U$3:$U$200=$A77)+($V$3:$V$200=$A77)+($W$3:$W$200=$A77)+($X$3:$X$200=$A77)+($Y$3:$Y$200=$A77)+($Z$3:$Z$200=$A77)+($AA$3:$AA$200=$A77))&gt;0)),$L$3:$L$200),"PENDIENTE"))</f>
        <v>PENDIENTE</v>
      </c>
      <c r="E77" s="17" t="str" cm="1">
        <f t="array" ref="E77">IF($A77="","",IFERROR(LOOKUP(2,1/(($K$3:$K$200="Integración")*((($M$3:$M$200=$A77)+($N$3:$N$200=$A77)+($O$3:$O$200=$A77)+($P$3:$P$200=$A77)+($Q$3:$Q$200=$A77)+($R$3:$R$200=$A77)+($S$3:$S$200=$A77)+($T$3:$T$200=$A77)+($U$3:$U$200=$A77)+($V$3:$V$200=$A77)+($W$3:$W$200=$A77)+($X$3:$X$200=$A77)+($Y$3:$Y$200=$A77)+($Z$3:$Z$200=$A77)+($AA$3:$AA$200=$A77))&gt;0)),$L$3:$L$200),"PENDIENTE"))</f>
        <v>PENDIENTE</v>
      </c>
      <c r="F77" s="17" t="str" cm="1">
        <f t="array" ref="F77">IF($A77="","",IFERROR(LOOKUP(2,1/(($K$3:$K$200="Prueba Final")*((($M$3:$M$200=$A77)+($N$3:$N$200=$A77)+($O$3:$O$200=$A77)+($P$3:$P$200=$A77)+($Q$3:$Q$200=$A77)+($R$3:$R$200=$A77)+($S$3:$S$200=$A77)+($T$3:$T$200=$A77)+($U$3:$U$200=$A77)+($V$3:$V$200=$A77)+($W$3:$W$200=$A77)+($X$3:$X$200=$A77)+($Y$3:$Y$200=$A77)+($Z$3:$Z$200=$A77)+($AA$3:$AA$200=$A77))&gt;0)),$L$3:$L$200),"PENDIENTE"))</f>
        <v>PENDIENTE</v>
      </c>
      <c r="G77" s="17" t="str">
        <f t="shared" si="2"/>
        <v>PENDIENTE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7.7" customHeight="1">
      <c r="A78" s="30" t="str">
        <f>IF(Producción!A78="","",Producción!A78)</f>
        <v>0099</v>
      </c>
      <c r="B78" s="17" t="str" cm="1">
        <f t="array" ref="B78">IF($A78="","",IFERROR(LOOKUP(2,1/(($K$3:$K$200="Soldadura")*((($M$3:$M$200=$A78)+($N$3:$N$200=$A78)+($O$3:$O$200=$A78)+($P$3:$P$200=$A78)+($Q$3:$Q$200=$A78)+($R$3:$R$200=$A78)+($S$3:$S$200=$A78)+($T$3:$T$200=$A78)+($U$3:$U$200=$A78)+($V$3:$V$200=$A78)+($W$3:$W$200=$A78)+($X$3:$X$200=$A78)+($Y$3:$Y$200=$A78)+($Z$3:$Z$200=$A78)+($AA$3:$AA$200=$A78))&gt;0)),$L$3:$L$200),"PENDIENTE"))</f>
        <v>PENDIENTE</v>
      </c>
      <c r="C78" s="17" t="str" cm="1">
        <f t="array" ref="C78">IF($A78="","",IFERROR(LOOKUP(2,1/(($K$3:$K$200="Programación")*((($M$3:$M$200=$A78)+($N$3:$N$200=$A78)+($O$3:$O$200=$A78)+($P$3:$P$200=$A78)+($Q$3:$Q$200=$A78)+($R$3:$R$200=$A78)+($S$3:$S$200=$A78)+($T$3:$T$200=$A78)+($U$3:$U$200=$A78)+($V$3:$V$200=$A78)+($W$3:$W$200=$A78)+($X$3:$X$200=$A78)+($Y$3:$Y$200=$A78)+($Z$3:$Z$200=$A78)+($AA$3:$AA$200=$A78))&gt;0)),$L$3:$L$200),"PENDIENTE"))</f>
        <v>PENDIENTE</v>
      </c>
      <c r="D78" s="17" t="str" cm="1">
        <f t="array" ref="D78">IF($A78="","",IFERROR(LOOKUP(2,1/(($K$3:$K$200="Prueba PCB")*((($M$3:$M$200=$A78)+($N$3:$N$200=$A78)+($O$3:$O$200=$A78)+($P$3:$P$200=$A78)+($Q$3:$Q$200=$A78)+($R$3:$R$200=$A78)+($S$3:$S$200=$A78)+($T$3:$T$200=$A78)+($U$3:$U$200=$A78)+($V$3:$V$200=$A78)+($W$3:$W$200=$A78)+($X$3:$X$200=$A78)+($Y$3:$Y$200=$A78)+($Z$3:$Z$200=$A78)+($AA$3:$AA$200=$A78))&gt;0)),$L$3:$L$200),"PENDIENTE"))</f>
        <v>PENDIENTE</v>
      </c>
      <c r="E78" s="17" t="str" cm="1">
        <f t="array" ref="E78">IF($A78="","",IFERROR(LOOKUP(2,1/(($K$3:$K$200="Integración")*((($M$3:$M$200=$A78)+($N$3:$N$200=$A78)+($O$3:$O$200=$A78)+($P$3:$P$200=$A78)+($Q$3:$Q$200=$A78)+($R$3:$R$200=$A78)+($S$3:$S$200=$A78)+($T$3:$T$200=$A78)+($U$3:$U$200=$A78)+($V$3:$V$200=$A78)+($W$3:$W$200=$A78)+($X$3:$X$200=$A78)+($Y$3:$Y$200=$A78)+($Z$3:$Z$200=$A78)+($AA$3:$AA$200=$A78))&gt;0)),$L$3:$L$200),"PENDIENTE"))</f>
        <v>PENDIENTE</v>
      </c>
      <c r="F78" s="17" t="str" cm="1">
        <f t="array" ref="F78">IF($A78="","",IFERROR(LOOKUP(2,1/(($K$3:$K$200="Prueba Final")*((($M$3:$M$200=$A78)+($N$3:$N$200=$A78)+($O$3:$O$200=$A78)+($P$3:$P$200=$A78)+($Q$3:$Q$200=$A78)+($R$3:$R$200=$A78)+($S$3:$S$200=$A78)+($T$3:$T$200=$A78)+($U$3:$U$200=$A78)+($V$3:$V$200=$A78)+($W$3:$W$200=$A78)+($X$3:$X$200=$A78)+($Y$3:$Y$200=$A78)+($Z$3:$Z$200=$A78)+($AA$3:$AA$200=$A78))&gt;0)),$L$3:$L$200),"PENDIENTE"))</f>
        <v>PENDIENTE</v>
      </c>
      <c r="G78" s="17" t="str">
        <f t="shared" si="2"/>
        <v>PENDIENTE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7.7" customHeight="1">
      <c r="A79" s="30" t="str">
        <f>IF(Producción!A79="","",Producción!A79)</f>
        <v>0100</v>
      </c>
      <c r="B79" s="17" t="str" cm="1">
        <f t="array" ref="B79">IF($A79="","",IFERROR(LOOKUP(2,1/(($K$3:$K$200="Soldadura")*((($M$3:$M$200=$A79)+($N$3:$N$200=$A79)+($O$3:$O$200=$A79)+($P$3:$P$200=$A79)+($Q$3:$Q$200=$A79)+($R$3:$R$200=$A79)+($S$3:$S$200=$A79)+($T$3:$T$200=$A79)+($U$3:$U$200=$A79)+($V$3:$V$200=$A79)+($W$3:$W$200=$A79)+($X$3:$X$200=$A79)+($Y$3:$Y$200=$A79)+($Z$3:$Z$200=$A79)+($AA$3:$AA$200=$A79))&gt;0)),$L$3:$L$200),"PENDIENTE"))</f>
        <v>PENDIENTE</v>
      </c>
      <c r="C79" s="17" t="str" cm="1">
        <f t="array" ref="C79">IF($A79="","",IFERROR(LOOKUP(2,1/(($K$3:$K$200="Programación")*((($M$3:$M$200=$A79)+($N$3:$N$200=$A79)+($O$3:$O$200=$A79)+($P$3:$P$200=$A79)+($Q$3:$Q$200=$A79)+($R$3:$R$200=$A79)+($S$3:$S$200=$A79)+($T$3:$T$200=$A79)+($U$3:$U$200=$A79)+($V$3:$V$200=$A79)+($W$3:$W$200=$A79)+($X$3:$X$200=$A79)+($Y$3:$Y$200=$A79)+($Z$3:$Z$200=$A79)+($AA$3:$AA$200=$A79))&gt;0)),$L$3:$L$200),"PENDIENTE"))</f>
        <v>PENDIENTE</v>
      </c>
      <c r="D79" s="17" t="str" cm="1">
        <f t="array" ref="D79">IF($A79="","",IFERROR(LOOKUP(2,1/(($K$3:$K$200="Prueba PCB")*((($M$3:$M$200=$A79)+($N$3:$N$200=$A79)+($O$3:$O$200=$A79)+($P$3:$P$200=$A79)+($Q$3:$Q$200=$A79)+($R$3:$R$200=$A79)+($S$3:$S$200=$A79)+($T$3:$T$200=$A79)+($U$3:$U$200=$A79)+($V$3:$V$200=$A79)+($W$3:$W$200=$A79)+($X$3:$X$200=$A79)+($Y$3:$Y$200=$A79)+($Z$3:$Z$200=$A79)+($AA$3:$AA$200=$A79))&gt;0)),$L$3:$L$200),"PENDIENTE"))</f>
        <v>PENDIENTE</v>
      </c>
      <c r="E79" s="17" t="str" cm="1">
        <f t="array" ref="E79">IF($A79="","",IFERROR(LOOKUP(2,1/(($K$3:$K$200="Integración")*((($M$3:$M$200=$A79)+($N$3:$N$200=$A79)+($O$3:$O$200=$A79)+($P$3:$P$200=$A79)+($Q$3:$Q$200=$A79)+($R$3:$R$200=$A79)+($S$3:$S$200=$A79)+($T$3:$T$200=$A79)+($U$3:$U$200=$A79)+($V$3:$V$200=$A79)+($W$3:$W$200=$A79)+($X$3:$X$200=$A79)+($Y$3:$Y$200=$A79)+($Z$3:$Z$200=$A79)+($AA$3:$AA$200=$A79))&gt;0)),$L$3:$L$200),"PENDIENTE"))</f>
        <v>PENDIENTE</v>
      </c>
      <c r="F79" s="17" t="str" cm="1">
        <f t="array" ref="F79">IF($A79="","",IFERROR(LOOKUP(2,1/(($K$3:$K$200="Prueba Final")*((($M$3:$M$200=$A79)+($N$3:$N$200=$A79)+($O$3:$O$200=$A79)+($P$3:$P$200=$A79)+($Q$3:$Q$200=$A79)+($R$3:$R$200=$A79)+($S$3:$S$200=$A79)+($T$3:$T$200=$A79)+($U$3:$U$200=$A79)+($V$3:$V$200=$A79)+($W$3:$W$200=$A79)+($X$3:$X$200=$A79)+($Y$3:$Y$200=$A79)+($Z$3:$Z$200=$A79)+($AA$3:$AA$200=$A79))&gt;0)),$L$3:$L$200),"PENDIENTE"))</f>
        <v>PENDIENTE</v>
      </c>
      <c r="G79" s="17" t="str">
        <f t="shared" si="2"/>
        <v>PENDIENTE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7.7" customHeight="1">
      <c r="A80" s="30" t="str">
        <f>IF(Producción!A80="","",Producción!A80)</f>
        <v>0101</v>
      </c>
      <c r="B80" s="17" t="str" cm="1">
        <f t="array" ref="B80">IF($A80="","",IFERROR(LOOKUP(2,1/(($K$3:$K$200="Soldadura")*((($M$3:$M$200=$A80)+($N$3:$N$200=$A80)+($O$3:$O$200=$A80)+($P$3:$P$200=$A80)+($Q$3:$Q$200=$A80)+($R$3:$R$200=$A80)+($S$3:$S$200=$A80)+($T$3:$T$200=$A80)+($U$3:$U$200=$A80)+($V$3:$V$200=$A80)+($W$3:$W$200=$A80)+($X$3:$X$200=$A80)+($Y$3:$Y$200=$A80)+($Z$3:$Z$200=$A80)+($AA$3:$AA$200=$A80))&gt;0)),$L$3:$L$200),"PENDIENTE"))</f>
        <v>PENDIENTE</v>
      </c>
      <c r="C80" s="17" t="str" cm="1">
        <f t="array" ref="C80">IF($A80="","",IFERROR(LOOKUP(2,1/(($K$3:$K$200="Programación")*((($M$3:$M$200=$A80)+($N$3:$N$200=$A80)+($O$3:$O$200=$A80)+($P$3:$P$200=$A80)+($Q$3:$Q$200=$A80)+($R$3:$R$200=$A80)+($S$3:$S$200=$A80)+($T$3:$T$200=$A80)+($U$3:$U$200=$A80)+($V$3:$V$200=$A80)+($W$3:$W$200=$A80)+($X$3:$X$200=$A80)+($Y$3:$Y$200=$A80)+($Z$3:$Z$200=$A80)+($AA$3:$AA$200=$A80))&gt;0)),$L$3:$L$200),"PENDIENTE"))</f>
        <v>PENDIENTE</v>
      </c>
      <c r="D80" s="17" t="str" cm="1">
        <f t="array" ref="D80">IF($A80="","",IFERROR(LOOKUP(2,1/(($K$3:$K$200="Prueba PCB")*((($M$3:$M$200=$A80)+($N$3:$N$200=$A80)+($O$3:$O$200=$A80)+($P$3:$P$200=$A80)+($Q$3:$Q$200=$A80)+($R$3:$R$200=$A80)+($S$3:$S$200=$A80)+($T$3:$T$200=$A80)+($U$3:$U$200=$A80)+($V$3:$V$200=$A80)+($W$3:$W$200=$A80)+($X$3:$X$200=$A80)+($Y$3:$Y$200=$A80)+($Z$3:$Z$200=$A80)+($AA$3:$AA$200=$A80))&gt;0)),$L$3:$L$200),"PENDIENTE"))</f>
        <v>PENDIENTE</v>
      </c>
      <c r="E80" s="17" t="str" cm="1">
        <f t="array" ref="E80">IF($A80="","",IFERROR(LOOKUP(2,1/(($K$3:$K$200="Integración")*((($M$3:$M$200=$A80)+($N$3:$N$200=$A80)+($O$3:$O$200=$A80)+($P$3:$P$200=$A80)+($Q$3:$Q$200=$A80)+($R$3:$R$200=$A80)+($S$3:$S$200=$A80)+($T$3:$T$200=$A80)+($U$3:$U$200=$A80)+($V$3:$V$200=$A80)+($W$3:$W$200=$A80)+($X$3:$X$200=$A80)+($Y$3:$Y$200=$A80)+($Z$3:$Z$200=$A80)+($AA$3:$AA$200=$A80))&gt;0)),$L$3:$L$200),"PENDIENTE"))</f>
        <v>PENDIENTE</v>
      </c>
      <c r="F80" s="17" t="str" cm="1">
        <f t="array" ref="F80">IF($A80="","",IFERROR(LOOKUP(2,1/(($K$3:$K$200="Prueba Final")*((($M$3:$M$200=$A80)+($N$3:$N$200=$A80)+($O$3:$O$200=$A80)+($P$3:$P$200=$A80)+($Q$3:$Q$200=$A80)+($R$3:$R$200=$A80)+($S$3:$S$200=$A80)+($T$3:$T$200=$A80)+($U$3:$U$200=$A80)+($V$3:$V$200=$A80)+($W$3:$W$200=$A80)+($X$3:$X$200=$A80)+($Y$3:$Y$200=$A80)+($Z$3:$Z$200=$A80)+($AA$3:$AA$200=$A80))&gt;0)),$L$3:$L$200),"PENDIENTE"))</f>
        <v>PENDIENTE</v>
      </c>
      <c r="G80" s="17" t="str">
        <f t="shared" si="2"/>
        <v>PENDIENTE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7.7" customHeight="1">
      <c r="A81" s="30" t="str">
        <f>IF(Producción!A81="","",Producción!A81)</f>
        <v>0103</v>
      </c>
      <c r="B81" s="17" t="str" cm="1">
        <f t="array" ref="B81">IF($A81="","",IFERROR(LOOKUP(2,1/(($K$3:$K$200="Soldadura")*((($M$3:$M$200=$A81)+($N$3:$N$200=$A81)+($O$3:$O$200=$A81)+($P$3:$P$200=$A81)+($Q$3:$Q$200=$A81)+($R$3:$R$200=$A81)+($S$3:$S$200=$A81)+($T$3:$T$200=$A81)+($U$3:$U$200=$A81)+($V$3:$V$200=$A81)+($W$3:$W$200=$A81)+($X$3:$X$200=$A81)+($Y$3:$Y$200=$A81)+($Z$3:$Z$200=$A81)+($AA$3:$AA$200=$A81))&gt;0)),$L$3:$L$200),"PENDIENTE"))</f>
        <v>PENDIENTE</v>
      </c>
      <c r="C81" s="17" t="str" cm="1">
        <f t="array" ref="C81">IF($A81="","",IFERROR(LOOKUP(2,1/(($K$3:$K$200="Programación")*((($M$3:$M$200=$A81)+($N$3:$N$200=$A81)+($O$3:$O$200=$A81)+($P$3:$P$200=$A81)+($Q$3:$Q$200=$A81)+($R$3:$R$200=$A81)+($S$3:$S$200=$A81)+($T$3:$T$200=$A81)+($U$3:$U$200=$A81)+($V$3:$V$200=$A81)+($W$3:$W$200=$A81)+($X$3:$X$200=$A81)+($Y$3:$Y$200=$A81)+($Z$3:$Z$200=$A81)+($AA$3:$AA$200=$A81))&gt;0)),$L$3:$L$200),"PENDIENTE"))</f>
        <v>PENDIENTE</v>
      </c>
      <c r="D81" s="17" t="str" cm="1">
        <f t="array" ref="D81">IF($A81="","",IFERROR(LOOKUP(2,1/(($K$3:$K$200="Prueba PCB")*((($M$3:$M$200=$A81)+($N$3:$N$200=$A81)+($O$3:$O$200=$A81)+($P$3:$P$200=$A81)+($Q$3:$Q$200=$A81)+($R$3:$R$200=$A81)+($S$3:$S$200=$A81)+($T$3:$T$200=$A81)+($U$3:$U$200=$A81)+($V$3:$V$200=$A81)+($W$3:$W$200=$A81)+($X$3:$X$200=$A81)+($Y$3:$Y$200=$A81)+($Z$3:$Z$200=$A81)+($AA$3:$AA$200=$A81))&gt;0)),$L$3:$L$200),"PENDIENTE"))</f>
        <v>PENDIENTE</v>
      </c>
      <c r="E81" s="17" t="str" cm="1">
        <f t="array" ref="E81">IF($A81="","",IFERROR(LOOKUP(2,1/(($K$3:$K$200="Integración")*((($M$3:$M$200=$A81)+($N$3:$N$200=$A81)+($O$3:$O$200=$A81)+($P$3:$P$200=$A81)+($Q$3:$Q$200=$A81)+($R$3:$R$200=$A81)+($S$3:$S$200=$A81)+($T$3:$T$200=$A81)+($U$3:$U$200=$A81)+($V$3:$V$200=$A81)+($W$3:$W$200=$A81)+($X$3:$X$200=$A81)+($Y$3:$Y$200=$A81)+($Z$3:$Z$200=$A81)+($AA$3:$AA$200=$A81))&gt;0)),$L$3:$L$200),"PENDIENTE"))</f>
        <v>PENDIENTE</v>
      </c>
      <c r="F81" s="17" t="str" cm="1">
        <f t="array" ref="F81">IF($A81="","",IFERROR(LOOKUP(2,1/(($K$3:$K$200="Prueba Final")*((($M$3:$M$200=$A81)+($N$3:$N$200=$A81)+($O$3:$O$200=$A81)+($P$3:$P$200=$A81)+($Q$3:$Q$200=$A81)+($R$3:$R$200=$A81)+($S$3:$S$200=$A81)+($T$3:$T$200=$A81)+($U$3:$U$200=$A81)+($V$3:$V$200=$A81)+($W$3:$W$200=$A81)+($X$3:$X$200=$A81)+($Y$3:$Y$200=$A81)+($Z$3:$Z$200=$A81)+($AA$3:$AA$200=$A81))&gt;0)),$L$3:$L$200),"PENDIENTE"))</f>
        <v>PENDIENTE</v>
      </c>
      <c r="G81" s="17" t="str">
        <f t="shared" si="2"/>
        <v>PENDIENTE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7.7" customHeight="1">
      <c r="A82" s="30" t="str">
        <f>IF(Producción!A82="","",Producción!A82)</f>
        <v>0104</v>
      </c>
      <c r="B82" s="17" t="str" cm="1">
        <f t="array" ref="B82">IF($A82="","",IFERROR(LOOKUP(2,1/(($K$3:$K$200="Soldadura")*((($M$3:$M$200=$A82)+($N$3:$N$200=$A82)+($O$3:$O$200=$A82)+($P$3:$P$200=$A82)+($Q$3:$Q$200=$A82)+($R$3:$R$200=$A82)+($S$3:$S$200=$A82)+($T$3:$T$200=$A82)+($U$3:$U$200=$A82)+($V$3:$V$200=$A82)+($W$3:$W$200=$A82)+($X$3:$X$200=$A82)+($Y$3:$Y$200=$A82)+($Z$3:$Z$200=$A82)+($AA$3:$AA$200=$A82))&gt;0)),$L$3:$L$200),"PENDIENTE"))</f>
        <v>PENDIENTE</v>
      </c>
      <c r="C82" s="17" t="str" cm="1">
        <f t="array" ref="C82">IF($A82="","",IFERROR(LOOKUP(2,1/(($K$3:$K$200="Programación")*((($M$3:$M$200=$A82)+($N$3:$N$200=$A82)+($O$3:$O$200=$A82)+($P$3:$P$200=$A82)+($Q$3:$Q$200=$A82)+($R$3:$R$200=$A82)+($S$3:$S$200=$A82)+($T$3:$T$200=$A82)+($U$3:$U$200=$A82)+($V$3:$V$200=$A82)+($W$3:$W$200=$A82)+($X$3:$X$200=$A82)+($Y$3:$Y$200=$A82)+($Z$3:$Z$200=$A82)+($AA$3:$AA$200=$A82))&gt;0)),$L$3:$L$200),"PENDIENTE"))</f>
        <v>PENDIENTE</v>
      </c>
      <c r="D82" s="17" t="str" cm="1">
        <f t="array" ref="D82">IF($A82="","",IFERROR(LOOKUP(2,1/(($K$3:$K$200="Prueba PCB")*((($M$3:$M$200=$A82)+($N$3:$N$200=$A82)+($O$3:$O$200=$A82)+($P$3:$P$200=$A82)+($Q$3:$Q$200=$A82)+($R$3:$R$200=$A82)+($S$3:$S$200=$A82)+($T$3:$T$200=$A82)+($U$3:$U$200=$A82)+($V$3:$V$200=$A82)+($W$3:$W$200=$A82)+($X$3:$X$200=$A82)+($Y$3:$Y$200=$A82)+($Z$3:$Z$200=$A82)+($AA$3:$AA$200=$A82))&gt;0)),$L$3:$L$200),"PENDIENTE"))</f>
        <v>PENDIENTE</v>
      </c>
      <c r="E82" s="17" t="str" cm="1">
        <f t="array" ref="E82">IF($A82="","",IFERROR(LOOKUP(2,1/(($K$3:$K$200="Integración")*((($M$3:$M$200=$A82)+($N$3:$N$200=$A82)+($O$3:$O$200=$A82)+($P$3:$P$200=$A82)+($Q$3:$Q$200=$A82)+($R$3:$R$200=$A82)+($S$3:$S$200=$A82)+($T$3:$T$200=$A82)+($U$3:$U$200=$A82)+($V$3:$V$200=$A82)+($W$3:$W$200=$A82)+($X$3:$X$200=$A82)+($Y$3:$Y$200=$A82)+($Z$3:$Z$200=$A82)+($AA$3:$AA$200=$A82))&gt;0)),$L$3:$L$200),"PENDIENTE"))</f>
        <v>PENDIENTE</v>
      </c>
      <c r="F82" s="17" t="str" cm="1">
        <f t="array" ref="F82">IF($A82="","",IFERROR(LOOKUP(2,1/(($K$3:$K$200="Prueba Final")*((($M$3:$M$200=$A82)+($N$3:$N$200=$A82)+($O$3:$O$200=$A82)+($P$3:$P$200=$A82)+($Q$3:$Q$200=$A82)+($R$3:$R$200=$A82)+($S$3:$S$200=$A82)+($T$3:$T$200=$A82)+($U$3:$U$200=$A82)+($V$3:$V$200=$A82)+($W$3:$W$200=$A82)+($X$3:$X$200=$A82)+($Y$3:$Y$200=$A82)+($Z$3:$Z$200=$A82)+($AA$3:$AA$200=$A82))&gt;0)),$L$3:$L$200),"PENDIENTE"))</f>
        <v>PENDIENTE</v>
      </c>
      <c r="G82" s="17" t="str">
        <f t="shared" si="2"/>
        <v>PENDIENTE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7.7" customHeight="1">
      <c r="A83" s="30" t="str">
        <f>IF(Producción!A83="","",Producción!A83)</f>
        <v>0105</v>
      </c>
      <c r="B83" s="17" t="str" cm="1">
        <f t="array" ref="B83">IF($A83="","",IFERROR(LOOKUP(2,1/(($K$3:$K$200="Soldadura")*((($M$3:$M$200=$A83)+($N$3:$N$200=$A83)+($O$3:$O$200=$A83)+($P$3:$P$200=$A83)+($Q$3:$Q$200=$A83)+($R$3:$R$200=$A83)+($S$3:$S$200=$A83)+($T$3:$T$200=$A83)+($U$3:$U$200=$A83)+($V$3:$V$200=$A83)+($W$3:$W$200=$A83)+($X$3:$X$200=$A83)+($Y$3:$Y$200=$A83)+($Z$3:$Z$200=$A83)+($AA$3:$AA$200=$A83))&gt;0)),$L$3:$L$200),"PENDIENTE"))</f>
        <v>PENDIENTE</v>
      </c>
      <c r="C83" s="17" t="str" cm="1">
        <f t="array" ref="C83">IF($A83="","",IFERROR(LOOKUP(2,1/(($K$3:$K$200="Programación")*((($M$3:$M$200=$A83)+($N$3:$N$200=$A83)+($O$3:$O$200=$A83)+($P$3:$P$200=$A83)+($Q$3:$Q$200=$A83)+($R$3:$R$200=$A83)+($S$3:$S$200=$A83)+($T$3:$T$200=$A83)+($U$3:$U$200=$A83)+($V$3:$V$200=$A83)+($W$3:$W$200=$A83)+($X$3:$X$200=$A83)+($Y$3:$Y$200=$A83)+($Z$3:$Z$200=$A83)+($AA$3:$AA$200=$A83))&gt;0)),$L$3:$L$200),"PENDIENTE"))</f>
        <v>PENDIENTE</v>
      </c>
      <c r="D83" s="17" t="str" cm="1">
        <f t="array" ref="D83">IF($A83="","",IFERROR(LOOKUP(2,1/(($K$3:$K$200="Prueba PCB")*((($M$3:$M$200=$A83)+($N$3:$N$200=$A83)+($O$3:$O$200=$A83)+($P$3:$P$200=$A83)+($Q$3:$Q$200=$A83)+($R$3:$R$200=$A83)+($S$3:$S$200=$A83)+($T$3:$T$200=$A83)+($U$3:$U$200=$A83)+($V$3:$V$200=$A83)+($W$3:$W$200=$A83)+($X$3:$X$200=$A83)+($Y$3:$Y$200=$A83)+($Z$3:$Z$200=$A83)+($AA$3:$AA$200=$A83))&gt;0)),$L$3:$L$200),"PENDIENTE"))</f>
        <v>PENDIENTE</v>
      </c>
      <c r="E83" s="17" t="str" cm="1">
        <f t="array" ref="E83">IF($A83="","",IFERROR(LOOKUP(2,1/(($K$3:$K$200="Integración")*((($M$3:$M$200=$A83)+($N$3:$N$200=$A83)+($O$3:$O$200=$A83)+($P$3:$P$200=$A83)+($Q$3:$Q$200=$A83)+($R$3:$R$200=$A83)+($S$3:$S$200=$A83)+($T$3:$T$200=$A83)+($U$3:$U$200=$A83)+($V$3:$V$200=$A83)+($W$3:$W$200=$A83)+($X$3:$X$200=$A83)+($Y$3:$Y$200=$A83)+($Z$3:$Z$200=$A83)+($AA$3:$AA$200=$A83))&gt;0)),$L$3:$L$200),"PENDIENTE"))</f>
        <v>PENDIENTE</v>
      </c>
      <c r="F83" s="17" t="str" cm="1">
        <f t="array" ref="F83">IF($A83="","",IFERROR(LOOKUP(2,1/(($K$3:$K$200="Prueba Final")*((($M$3:$M$200=$A83)+($N$3:$N$200=$A83)+($O$3:$O$200=$A83)+($P$3:$P$200=$A83)+($Q$3:$Q$200=$A83)+($R$3:$R$200=$A83)+($S$3:$S$200=$A83)+($T$3:$T$200=$A83)+($U$3:$U$200=$A83)+($V$3:$V$200=$A83)+($W$3:$W$200=$A83)+($X$3:$X$200=$A83)+($Y$3:$Y$200=$A83)+($Z$3:$Z$200=$A83)+($AA$3:$AA$200=$A83))&gt;0)),$L$3:$L$200),"PENDIENTE"))</f>
        <v>PENDIENTE</v>
      </c>
      <c r="G83" s="17" t="str">
        <f t="shared" si="2"/>
        <v>PENDIENTE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7.7" customHeight="1">
      <c r="A84" s="30" t="str">
        <f>IF(Producción!A84="","",Producción!A84)</f>
        <v>0117</v>
      </c>
      <c r="B84" s="17" t="str" cm="1">
        <f t="array" ref="B84">IF($A84="","",IFERROR(LOOKUP(2,1/(($K$3:$K$200="Soldadura")*((($M$3:$M$200=$A84)+($N$3:$N$200=$A84)+($O$3:$O$200=$A84)+($P$3:$P$200=$A84)+($Q$3:$Q$200=$A84)+($R$3:$R$200=$A84)+($S$3:$S$200=$A84)+($T$3:$T$200=$A84)+($U$3:$U$200=$A84)+($V$3:$V$200=$A84)+($W$3:$W$200=$A84)+($X$3:$X$200=$A84)+($Y$3:$Y$200=$A84)+($Z$3:$Z$200=$A84)+($AA$3:$AA$200=$A84))&gt;0)),$L$3:$L$200),"PENDIENTE"))</f>
        <v>PENDIENTE</v>
      </c>
      <c r="C84" s="17" t="str" cm="1">
        <f t="array" ref="C84">IF($A84="","",IFERROR(LOOKUP(2,1/(($K$3:$K$200="Programación")*((($M$3:$M$200=$A84)+($N$3:$N$200=$A84)+($O$3:$O$200=$A84)+($P$3:$P$200=$A84)+($Q$3:$Q$200=$A84)+($R$3:$R$200=$A84)+($S$3:$S$200=$A84)+($T$3:$T$200=$A84)+($U$3:$U$200=$A84)+($V$3:$V$200=$A84)+($W$3:$W$200=$A84)+($X$3:$X$200=$A84)+($Y$3:$Y$200=$A84)+($Z$3:$Z$200=$A84)+($AA$3:$AA$200=$A84))&gt;0)),$L$3:$L$200),"PENDIENTE"))</f>
        <v>PENDIENTE</v>
      </c>
      <c r="D84" s="17" t="str" cm="1">
        <f t="array" ref="D84">IF($A84="","",IFERROR(LOOKUP(2,1/(($K$3:$K$200="Prueba PCB")*((($M$3:$M$200=$A84)+($N$3:$N$200=$A84)+($O$3:$O$200=$A84)+($P$3:$P$200=$A84)+($Q$3:$Q$200=$A84)+($R$3:$R$200=$A84)+($S$3:$S$200=$A84)+($T$3:$T$200=$A84)+($U$3:$U$200=$A84)+($V$3:$V$200=$A84)+($W$3:$W$200=$A84)+($X$3:$X$200=$A84)+($Y$3:$Y$200=$A84)+($Z$3:$Z$200=$A84)+($AA$3:$AA$200=$A84))&gt;0)),$L$3:$L$200),"PENDIENTE"))</f>
        <v>PENDIENTE</v>
      </c>
      <c r="E84" s="17" t="str" cm="1">
        <f t="array" ref="E84">IF($A84="","",IFERROR(LOOKUP(2,1/(($K$3:$K$200="Integración")*((($M$3:$M$200=$A84)+($N$3:$N$200=$A84)+($O$3:$O$200=$A84)+($P$3:$P$200=$A84)+($Q$3:$Q$200=$A84)+($R$3:$R$200=$A84)+($S$3:$S$200=$A84)+($T$3:$T$200=$A84)+($U$3:$U$200=$A84)+($V$3:$V$200=$A84)+($W$3:$W$200=$A84)+($X$3:$X$200=$A84)+($Y$3:$Y$200=$A84)+($Z$3:$Z$200=$A84)+($AA$3:$AA$200=$A84))&gt;0)),$L$3:$L$200),"PENDIENTE"))</f>
        <v>PENDIENTE</v>
      </c>
      <c r="F84" s="17" t="str" cm="1">
        <f t="array" ref="F84">IF($A84="","",IFERROR(LOOKUP(2,1/(($K$3:$K$200="Prueba Final")*((($M$3:$M$200=$A84)+($N$3:$N$200=$A84)+($O$3:$O$200=$A84)+($P$3:$P$200=$A84)+($Q$3:$Q$200=$A84)+($R$3:$R$200=$A84)+($S$3:$S$200=$A84)+($T$3:$T$200=$A84)+($U$3:$U$200=$A84)+($V$3:$V$200=$A84)+($W$3:$W$200=$A84)+($X$3:$X$200=$A84)+($Y$3:$Y$200=$A84)+($Z$3:$Z$200=$A84)+($AA$3:$AA$200=$A84))&gt;0)),$L$3:$L$200),"PENDIENTE"))</f>
        <v>PENDIENTE</v>
      </c>
      <c r="G84" s="17" t="str">
        <f t="shared" si="2"/>
        <v>PENDIENTE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7.7" customHeight="1">
      <c r="A85" s="30" t="str">
        <f>IF(Producción!A85="","",Producción!A85)</f>
        <v>0118</v>
      </c>
      <c r="B85" s="17" t="str" cm="1">
        <f t="array" ref="B85">IF($A85="","",IFERROR(LOOKUP(2,1/(($K$3:$K$200="Soldadura")*((($M$3:$M$200=$A85)+($N$3:$N$200=$A85)+($O$3:$O$200=$A85)+($P$3:$P$200=$A85)+($Q$3:$Q$200=$A85)+($R$3:$R$200=$A85)+($S$3:$S$200=$A85)+($T$3:$T$200=$A85)+($U$3:$U$200=$A85)+($V$3:$V$200=$A85)+($W$3:$W$200=$A85)+($X$3:$X$200=$A85)+($Y$3:$Y$200=$A85)+($Z$3:$Z$200=$A85)+($AA$3:$AA$200=$A85))&gt;0)),$L$3:$L$200),"PENDIENTE"))</f>
        <v>PENDIENTE</v>
      </c>
      <c r="C85" s="17" t="str" cm="1">
        <f t="array" ref="C85">IF($A85="","",IFERROR(LOOKUP(2,1/(($K$3:$K$200="Programación")*((($M$3:$M$200=$A85)+($N$3:$N$200=$A85)+($O$3:$O$200=$A85)+($P$3:$P$200=$A85)+($Q$3:$Q$200=$A85)+($R$3:$R$200=$A85)+($S$3:$S$200=$A85)+($T$3:$T$200=$A85)+($U$3:$U$200=$A85)+($V$3:$V$200=$A85)+($W$3:$W$200=$A85)+($X$3:$X$200=$A85)+($Y$3:$Y$200=$A85)+($Z$3:$Z$200=$A85)+($AA$3:$AA$200=$A85))&gt;0)),$L$3:$L$200),"PENDIENTE"))</f>
        <v>PENDIENTE</v>
      </c>
      <c r="D85" s="17" t="str" cm="1">
        <f t="array" ref="D85">IF($A85="","",IFERROR(LOOKUP(2,1/(($K$3:$K$200="Prueba PCB")*((($M$3:$M$200=$A85)+($N$3:$N$200=$A85)+($O$3:$O$200=$A85)+($P$3:$P$200=$A85)+($Q$3:$Q$200=$A85)+($R$3:$R$200=$A85)+($S$3:$S$200=$A85)+($T$3:$T$200=$A85)+($U$3:$U$200=$A85)+($V$3:$V$200=$A85)+($W$3:$W$200=$A85)+($X$3:$X$200=$A85)+($Y$3:$Y$200=$A85)+($Z$3:$Z$200=$A85)+($AA$3:$AA$200=$A85))&gt;0)),$L$3:$L$200),"PENDIENTE"))</f>
        <v>PENDIENTE</v>
      </c>
      <c r="E85" s="17" t="str" cm="1">
        <f t="array" ref="E85">IF($A85="","",IFERROR(LOOKUP(2,1/(($K$3:$K$200="Integración")*((($M$3:$M$200=$A85)+($N$3:$N$200=$A85)+($O$3:$O$200=$A85)+($P$3:$P$200=$A85)+($Q$3:$Q$200=$A85)+($R$3:$R$200=$A85)+($S$3:$S$200=$A85)+($T$3:$T$200=$A85)+($U$3:$U$200=$A85)+($V$3:$V$200=$A85)+($W$3:$W$200=$A85)+($X$3:$X$200=$A85)+($Y$3:$Y$200=$A85)+($Z$3:$Z$200=$A85)+($AA$3:$AA$200=$A85))&gt;0)),$L$3:$L$200),"PENDIENTE"))</f>
        <v>PENDIENTE</v>
      </c>
      <c r="F85" s="17" t="str" cm="1">
        <f t="array" ref="F85">IF($A85="","",IFERROR(LOOKUP(2,1/(($K$3:$K$200="Prueba Final")*((($M$3:$M$200=$A85)+($N$3:$N$200=$A85)+($O$3:$O$200=$A85)+($P$3:$P$200=$A85)+($Q$3:$Q$200=$A85)+($R$3:$R$200=$A85)+($S$3:$S$200=$A85)+($T$3:$T$200=$A85)+($U$3:$U$200=$A85)+($V$3:$V$200=$A85)+($W$3:$W$200=$A85)+($X$3:$X$200=$A85)+($Y$3:$Y$200=$A85)+($Z$3:$Z$200=$A85)+($AA$3:$AA$200=$A85))&gt;0)),$L$3:$L$200),"PENDIENTE"))</f>
        <v>PENDIENTE</v>
      </c>
      <c r="G85" s="17" t="str">
        <f t="shared" si="2"/>
        <v>PENDIENTE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7.7" customHeight="1">
      <c r="A86" s="30" t="str">
        <f>IF(Producción!A86="","",Producción!A86)</f>
        <v>0018</v>
      </c>
      <c r="B86" s="17" t="str" cm="1">
        <f t="array" ref="B86">IF($A86="","",IFERROR(LOOKUP(2,1/(($K$3:$K$200="Soldadura")*((($M$3:$M$200=$A86)+($N$3:$N$200=$A86)+($O$3:$O$200=$A86)+($P$3:$P$200=$A86)+($Q$3:$Q$200=$A86)+($R$3:$R$200=$A86)+($S$3:$S$200=$A86)+($T$3:$T$200=$A86)+($U$3:$U$200=$A86)+($V$3:$V$200=$A86)+($W$3:$W$200=$A86)+($X$3:$X$200=$A86)+($Y$3:$Y$200=$A86)+($Z$3:$Z$200=$A86)+($AA$3:$AA$200=$A86))&gt;0)),$L$3:$L$200),"PENDIENTE"))</f>
        <v>PENDIENTE</v>
      </c>
      <c r="C86" s="17" t="str" cm="1">
        <f t="array" ref="C86">IF($A86="","",IFERROR(LOOKUP(2,1/(($K$3:$K$200="Programación")*((($M$3:$M$200=$A86)+($N$3:$N$200=$A86)+($O$3:$O$200=$A86)+($P$3:$P$200=$A86)+($Q$3:$Q$200=$A86)+($R$3:$R$200=$A86)+($S$3:$S$200=$A86)+($T$3:$T$200=$A86)+($U$3:$U$200=$A86)+($V$3:$V$200=$A86)+($W$3:$W$200=$A86)+($X$3:$X$200=$A86)+($Y$3:$Y$200=$A86)+($Z$3:$Z$200=$A86)+($AA$3:$AA$200=$A86))&gt;0)),$L$3:$L$200),"PENDIENTE"))</f>
        <v>PENDIENTE</v>
      </c>
      <c r="D86" s="17" t="str" cm="1">
        <f t="array" ref="D86">IF($A86="","",IFERROR(LOOKUP(2,1/(($K$3:$K$200="Prueba PCB")*((($M$3:$M$200=$A86)+($N$3:$N$200=$A86)+($O$3:$O$200=$A86)+($P$3:$P$200=$A86)+($Q$3:$Q$200=$A86)+($R$3:$R$200=$A86)+($S$3:$S$200=$A86)+($T$3:$T$200=$A86)+($U$3:$U$200=$A86)+($V$3:$V$200=$A86)+($W$3:$W$200=$A86)+($X$3:$X$200=$A86)+($Y$3:$Y$200=$A86)+($Z$3:$Z$200=$A86)+($AA$3:$AA$200=$A86))&gt;0)),$L$3:$L$200),"PENDIENTE"))</f>
        <v>PENDIENTE</v>
      </c>
      <c r="E86" s="17" t="str" cm="1">
        <f t="array" ref="E86">IF($A86="","",IFERROR(LOOKUP(2,1/(($K$3:$K$200="Integración")*((($M$3:$M$200=$A86)+($N$3:$N$200=$A86)+($O$3:$O$200=$A86)+($P$3:$P$200=$A86)+($Q$3:$Q$200=$A86)+($R$3:$R$200=$A86)+($S$3:$S$200=$A86)+($T$3:$T$200=$A86)+($U$3:$U$200=$A86)+($V$3:$V$200=$A86)+($W$3:$W$200=$A86)+($X$3:$X$200=$A86)+($Y$3:$Y$200=$A86)+($Z$3:$Z$200=$A86)+($AA$3:$AA$200=$A86))&gt;0)),$L$3:$L$200),"PENDIENTE"))</f>
        <v>PENDIENTE</v>
      </c>
      <c r="F86" s="17" t="str" cm="1">
        <f t="array" ref="F86">IF($A86="","",IFERROR(LOOKUP(2,1/(($K$3:$K$200="Prueba Final")*((($M$3:$M$200=$A86)+($N$3:$N$200=$A86)+($O$3:$O$200=$A86)+($P$3:$P$200=$A86)+($Q$3:$Q$200=$A86)+($R$3:$R$200=$A86)+($S$3:$S$200=$A86)+($T$3:$T$200=$A86)+($U$3:$U$200=$A86)+($V$3:$V$200=$A86)+($W$3:$W$200=$A86)+($X$3:$X$200=$A86)+($Y$3:$Y$200=$A86)+($Z$3:$Z$200=$A86)+($AA$3:$AA$200=$A86))&gt;0)),$L$3:$L$200),"PENDIENTE"))</f>
        <v>PENDIENTE</v>
      </c>
      <c r="G86" s="17" t="str">
        <f t="shared" si="2"/>
        <v>PENDIENTE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7.7" customHeight="1">
      <c r="A87" s="30" t="str">
        <f>IF(Producción!A87="","",Producción!A87)</f>
        <v>0036</v>
      </c>
      <c r="B87" s="17" t="str" cm="1">
        <f t="array" ref="B87">IF($A87="","",IFERROR(LOOKUP(2,1/(($K$3:$K$200="Soldadura")*((($M$3:$M$200=$A87)+($N$3:$N$200=$A87)+($O$3:$O$200=$A87)+($P$3:$P$200=$A87)+($Q$3:$Q$200=$A87)+($R$3:$R$200=$A87)+($S$3:$S$200=$A87)+($T$3:$T$200=$A87)+($U$3:$U$200=$A87)+($V$3:$V$200=$A87)+($W$3:$W$200=$A87)+($X$3:$X$200=$A87)+($Y$3:$Y$200=$A87)+($Z$3:$Z$200=$A87)+($AA$3:$AA$200=$A87))&gt;0)),$L$3:$L$200),"PENDIENTE"))</f>
        <v>PENDIENTE</v>
      </c>
      <c r="C87" s="17" t="str" cm="1">
        <f t="array" ref="C87">IF($A87="","",IFERROR(LOOKUP(2,1/(($K$3:$K$200="Programación")*((($M$3:$M$200=$A87)+($N$3:$N$200=$A87)+($O$3:$O$200=$A87)+($P$3:$P$200=$A87)+($Q$3:$Q$200=$A87)+($R$3:$R$200=$A87)+($S$3:$S$200=$A87)+($T$3:$T$200=$A87)+($U$3:$U$200=$A87)+($V$3:$V$200=$A87)+($W$3:$W$200=$A87)+($X$3:$X$200=$A87)+($Y$3:$Y$200=$A87)+($Z$3:$Z$200=$A87)+($AA$3:$AA$200=$A87))&gt;0)),$L$3:$L$200),"PENDIENTE"))</f>
        <v>PENDIENTE</v>
      </c>
      <c r="D87" s="17" t="str" cm="1">
        <f t="array" ref="D87">IF($A87="","",IFERROR(LOOKUP(2,1/(($K$3:$K$200="Prueba PCB")*((($M$3:$M$200=$A87)+($N$3:$N$200=$A87)+($O$3:$O$200=$A87)+($P$3:$P$200=$A87)+($Q$3:$Q$200=$A87)+($R$3:$R$200=$A87)+($S$3:$S$200=$A87)+($T$3:$T$200=$A87)+($U$3:$U$200=$A87)+($V$3:$V$200=$A87)+($W$3:$W$200=$A87)+($X$3:$X$200=$A87)+($Y$3:$Y$200=$A87)+($Z$3:$Z$200=$A87)+($AA$3:$AA$200=$A87))&gt;0)),$L$3:$L$200),"PENDIENTE"))</f>
        <v>PENDIENTE</v>
      </c>
      <c r="E87" s="17" t="str" cm="1">
        <f t="array" ref="E87">IF($A87="","",IFERROR(LOOKUP(2,1/(($K$3:$K$200="Integración")*((($M$3:$M$200=$A87)+($N$3:$N$200=$A87)+($O$3:$O$200=$A87)+($P$3:$P$200=$A87)+($Q$3:$Q$200=$A87)+($R$3:$R$200=$A87)+($S$3:$S$200=$A87)+($T$3:$T$200=$A87)+($U$3:$U$200=$A87)+($V$3:$V$200=$A87)+($W$3:$W$200=$A87)+($X$3:$X$200=$A87)+($Y$3:$Y$200=$A87)+($Z$3:$Z$200=$A87)+($AA$3:$AA$200=$A87))&gt;0)),$L$3:$L$200),"PENDIENTE"))</f>
        <v>PENDIENTE</v>
      </c>
      <c r="F87" s="17" t="str" cm="1">
        <f t="array" ref="F87">IF($A87="","",IFERROR(LOOKUP(2,1/(($K$3:$K$200="Prueba Final")*((($M$3:$M$200=$A87)+($N$3:$N$200=$A87)+($O$3:$O$200=$A87)+($P$3:$P$200=$A87)+($Q$3:$Q$200=$A87)+($R$3:$R$200=$A87)+($S$3:$S$200=$A87)+($T$3:$T$200=$A87)+($U$3:$U$200=$A87)+($V$3:$V$200=$A87)+($W$3:$W$200=$A87)+($X$3:$X$200=$A87)+($Y$3:$Y$200=$A87)+($Z$3:$Z$200=$A87)+($AA$3:$AA$200=$A87))&gt;0)),$L$3:$L$200),"PENDIENTE"))</f>
        <v>PENDIENTE</v>
      </c>
      <c r="G87" s="17" t="str">
        <f t="shared" si="2"/>
        <v>PENDIENTE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7.7" customHeight="1">
      <c r="A88" s="30" t="str">
        <f>IF(Producción!A88="","",Producción!A88)</f>
        <v>0038</v>
      </c>
      <c r="B88" s="17" t="str" cm="1">
        <f t="array" ref="B88">IF($A88="","",IFERROR(LOOKUP(2,1/(($K$3:$K$200="Soldadura")*((($M$3:$M$200=$A88)+($N$3:$N$200=$A88)+($O$3:$O$200=$A88)+($P$3:$P$200=$A88)+($Q$3:$Q$200=$A88)+($R$3:$R$200=$A88)+($S$3:$S$200=$A88)+($T$3:$T$200=$A88)+($U$3:$U$200=$A88)+($V$3:$V$200=$A88)+($W$3:$W$200=$A88)+($X$3:$X$200=$A88)+($Y$3:$Y$200=$A88)+($Z$3:$Z$200=$A88)+($AA$3:$AA$200=$A88))&gt;0)),$L$3:$L$200),"PENDIENTE"))</f>
        <v>PENDIENTE</v>
      </c>
      <c r="C88" s="17" t="str" cm="1">
        <f t="array" ref="C88">IF($A88="","",IFERROR(LOOKUP(2,1/(($K$3:$K$200="Programación")*((($M$3:$M$200=$A88)+($N$3:$N$200=$A88)+($O$3:$O$200=$A88)+($P$3:$P$200=$A88)+($Q$3:$Q$200=$A88)+($R$3:$R$200=$A88)+($S$3:$S$200=$A88)+($T$3:$T$200=$A88)+($U$3:$U$200=$A88)+($V$3:$V$200=$A88)+($W$3:$W$200=$A88)+($X$3:$X$200=$A88)+($Y$3:$Y$200=$A88)+($Z$3:$Z$200=$A88)+($AA$3:$AA$200=$A88))&gt;0)),$L$3:$L$200),"PENDIENTE"))</f>
        <v>PENDIENTE</v>
      </c>
      <c r="D88" s="17" t="str" cm="1">
        <f t="array" ref="D88">IF($A88="","",IFERROR(LOOKUP(2,1/(($K$3:$K$200="Prueba PCB")*((($M$3:$M$200=$A88)+($N$3:$N$200=$A88)+($O$3:$O$200=$A88)+($P$3:$P$200=$A88)+($Q$3:$Q$200=$A88)+($R$3:$R$200=$A88)+($S$3:$S$200=$A88)+($T$3:$T$200=$A88)+($U$3:$U$200=$A88)+($V$3:$V$200=$A88)+($W$3:$W$200=$A88)+($X$3:$X$200=$A88)+($Y$3:$Y$200=$A88)+($Z$3:$Z$200=$A88)+($AA$3:$AA$200=$A88))&gt;0)),$L$3:$L$200),"PENDIENTE"))</f>
        <v>PENDIENTE</v>
      </c>
      <c r="E88" s="17" t="str" cm="1">
        <f t="array" ref="E88">IF($A88="","",IFERROR(LOOKUP(2,1/(($K$3:$K$200="Integración")*((($M$3:$M$200=$A88)+($N$3:$N$200=$A88)+($O$3:$O$200=$A88)+($P$3:$P$200=$A88)+($Q$3:$Q$200=$A88)+($R$3:$R$200=$A88)+($S$3:$S$200=$A88)+($T$3:$T$200=$A88)+($U$3:$U$200=$A88)+($V$3:$V$200=$A88)+($W$3:$W$200=$A88)+($X$3:$X$200=$A88)+($Y$3:$Y$200=$A88)+($Z$3:$Z$200=$A88)+($AA$3:$AA$200=$A88))&gt;0)),$L$3:$L$200),"PENDIENTE"))</f>
        <v>PENDIENTE</v>
      </c>
      <c r="F88" s="17" t="str" cm="1">
        <f t="array" ref="F88">IF($A88="","",IFERROR(LOOKUP(2,1/(($K$3:$K$200="Prueba Final")*((($M$3:$M$200=$A88)+($N$3:$N$200=$A88)+($O$3:$O$200=$A88)+($P$3:$P$200=$A88)+($Q$3:$Q$200=$A88)+($R$3:$R$200=$A88)+($S$3:$S$200=$A88)+($T$3:$T$200=$A88)+($U$3:$U$200=$A88)+($V$3:$V$200=$A88)+($W$3:$W$200=$A88)+($X$3:$X$200=$A88)+($Y$3:$Y$200=$A88)+($Z$3:$Z$200=$A88)+($AA$3:$AA$200=$A88))&gt;0)),$L$3:$L$200),"PENDIENTE"))</f>
        <v>PENDIENTE</v>
      </c>
      <c r="G88" s="17" t="str">
        <f t="shared" si="2"/>
        <v>PENDIENTE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7.7" customHeight="1">
      <c r="A89" s="30" t="str">
        <f>IF(Producción!A89="","",Producción!A89)</f>
        <v>0107</v>
      </c>
      <c r="B89" s="17" t="str" cm="1">
        <f t="array" ref="B89">IF($A89="","",IFERROR(LOOKUP(2,1/(($K$3:$K$200="Soldadura")*((($M$3:$M$200=$A89)+($N$3:$N$200=$A89)+($O$3:$O$200=$A89)+($P$3:$P$200=$A89)+($Q$3:$Q$200=$A89)+($R$3:$R$200=$A89)+($S$3:$S$200=$A89)+($T$3:$T$200=$A89)+($U$3:$U$200=$A89)+($V$3:$V$200=$A89)+($W$3:$W$200=$A89)+($X$3:$X$200=$A89)+($Y$3:$Y$200=$A89)+($Z$3:$Z$200=$A89)+($AA$3:$AA$200=$A89))&gt;0)),$L$3:$L$200),"PENDIENTE"))</f>
        <v>PENDIENTE</v>
      </c>
      <c r="C89" s="17" t="str" cm="1">
        <f t="array" ref="C89">IF($A89="","",IFERROR(LOOKUP(2,1/(($K$3:$K$200="Programación")*((($M$3:$M$200=$A89)+($N$3:$N$200=$A89)+($O$3:$O$200=$A89)+($P$3:$P$200=$A89)+($Q$3:$Q$200=$A89)+($R$3:$R$200=$A89)+($S$3:$S$200=$A89)+($T$3:$T$200=$A89)+($U$3:$U$200=$A89)+($V$3:$V$200=$A89)+($W$3:$W$200=$A89)+($X$3:$X$200=$A89)+($Y$3:$Y$200=$A89)+($Z$3:$Z$200=$A89)+($AA$3:$AA$200=$A89))&gt;0)),$L$3:$L$200),"PENDIENTE"))</f>
        <v>PENDIENTE</v>
      </c>
      <c r="D89" s="17" t="str" cm="1">
        <f t="array" ref="D89">IF($A89="","",IFERROR(LOOKUP(2,1/(($K$3:$K$200="Prueba PCB")*((($M$3:$M$200=$A89)+($N$3:$N$200=$A89)+($O$3:$O$200=$A89)+($P$3:$P$200=$A89)+($Q$3:$Q$200=$A89)+($R$3:$R$200=$A89)+($S$3:$S$200=$A89)+($T$3:$T$200=$A89)+($U$3:$U$200=$A89)+($V$3:$V$200=$A89)+($W$3:$W$200=$A89)+($X$3:$X$200=$A89)+($Y$3:$Y$200=$A89)+($Z$3:$Z$200=$A89)+($AA$3:$AA$200=$A89))&gt;0)),$L$3:$L$200),"PENDIENTE"))</f>
        <v>PENDIENTE</v>
      </c>
      <c r="E89" s="17" t="str" cm="1">
        <f t="array" ref="E89">IF($A89="","",IFERROR(LOOKUP(2,1/(($K$3:$K$200="Integración")*((($M$3:$M$200=$A89)+($N$3:$N$200=$A89)+($O$3:$O$200=$A89)+($P$3:$P$200=$A89)+($Q$3:$Q$200=$A89)+($R$3:$R$200=$A89)+($S$3:$S$200=$A89)+($T$3:$T$200=$A89)+($U$3:$U$200=$A89)+($V$3:$V$200=$A89)+($W$3:$W$200=$A89)+($X$3:$X$200=$A89)+($Y$3:$Y$200=$A89)+($Z$3:$Z$200=$A89)+($AA$3:$AA$200=$A89))&gt;0)),$L$3:$L$200),"PENDIENTE"))</f>
        <v>PENDIENTE</v>
      </c>
      <c r="F89" s="17" t="str" cm="1">
        <f t="array" ref="F89">IF($A89="","",IFERROR(LOOKUP(2,1/(($K$3:$K$200="Prueba Final")*((($M$3:$M$200=$A89)+($N$3:$N$200=$A89)+($O$3:$O$200=$A89)+($P$3:$P$200=$A89)+($Q$3:$Q$200=$A89)+($R$3:$R$200=$A89)+($S$3:$S$200=$A89)+($T$3:$T$200=$A89)+($U$3:$U$200=$A89)+($V$3:$V$200=$A89)+($W$3:$W$200=$A89)+($X$3:$X$200=$A89)+($Y$3:$Y$200=$A89)+($Z$3:$Z$200=$A89)+($AA$3:$AA$200=$A89))&gt;0)),$L$3:$L$200),"PENDIENTE"))</f>
        <v>PENDIENTE</v>
      </c>
      <c r="G89" s="17" t="str">
        <f t="shared" si="2"/>
        <v>PENDIENTE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7.7" customHeight="1">
      <c r="A90" s="30" t="str">
        <f>IF(Producción!A90="","",Producción!A90)</f>
        <v>0112</v>
      </c>
      <c r="B90" s="17" t="str" cm="1">
        <f t="array" ref="B90">IF($A90="","",IFERROR(LOOKUP(2,1/(($K$3:$K$200="Soldadura")*((($M$3:$M$200=$A90)+($N$3:$N$200=$A90)+($O$3:$O$200=$A90)+($P$3:$P$200=$A90)+($Q$3:$Q$200=$A90)+($R$3:$R$200=$A90)+($S$3:$S$200=$A90)+($T$3:$T$200=$A90)+($U$3:$U$200=$A90)+($V$3:$V$200=$A90)+($W$3:$W$200=$A90)+($X$3:$X$200=$A90)+($Y$3:$Y$200=$A90)+($Z$3:$Z$200=$A90)+($AA$3:$AA$200=$A90))&gt;0)),$L$3:$L$200),"PENDIENTE"))</f>
        <v>PENDIENTE</v>
      </c>
      <c r="C90" s="17" t="str" cm="1">
        <f t="array" ref="C90">IF($A90="","",IFERROR(LOOKUP(2,1/(($K$3:$K$200="Programación")*((($M$3:$M$200=$A90)+($N$3:$N$200=$A90)+($O$3:$O$200=$A90)+($P$3:$P$200=$A90)+($Q$3:$Q$200=$A90)+($R$3:$R$200=$A90)+($S$3:$S$200=$A90)+($T$3:$T$200=$A90)+($U$3:$U$200=$A90)+($V$3:$V$200=$A90)+($W$3:$W$200=$A90)+($X$3:$X$200=$A90)+($Y$3:$Y$200=$A90)+($Z$3:$Z$200=$A90)+($AA$3:$AA$200=$A90))&gt;0)),$L$3:$L$200),"PENDIENTE"))</f>
        <v>PENDIENTE</v>
      </c>
      <c r="D90" s="17" t="str" cm="1">
        <f t="array" ref="D90">IF($A90="","",IFERROR(LOOKUP(2,1/(($K$3:$K$200="Prueba PCB")*((($M$3:$M$200=$A90)+($N$3:$N$200=$A90)+($O$3:$O$200=$A90)+($P$3:$P$200=$A90)+($Q$3:$Q$200=$A90)+($R$3:$R$200=$A90)+($S$3:$S$200=$A90)+($T$3:$T$200=$A90)+($U$3:$U$200=$A90)+($V$3:$V$200=$A90)+($W$3:$W$200=$A90)+($X$3:$X$200=$A90)+($Y$3:$Y$200=$A90)+($Z$3:$Z$200=$A90)+($AA$3:$AA$200=$A90))&gt;0)),$L$3:$L$200),"PENDIENTE"))</f>
        <v>PENDIENTE</v>
      </c>
      <c r="E90" s="17" t="str" cm="1">
        <f t="array" ref="E90">IF($A90="","",IFERROR(LOOKUP(2,1/(($K$3:$K$200="Integración")*((($M$3:$M$200=$A90)+($N$3:$N$200=$A90)+($O$3:$O$200=$A90)+($P$3:$P$200=$A90)+($Q$3:$Q$200=$A90)+($R$3:$R$200=$A90)+($S$3:$S$200=$A90)+($T$3:$T$200=$A90)+($U$3:$U$200=$A90)+($V$3:$V$200=$A90)+($W$3:$W$200=$A90)+($X$3:$X$200=$A90)+($Y$3:$Y$200=$A90)+($Z$3:$Z$200=$A90)+($AA$3:$AA$200=$A90))&gt;0)),$L$3:$L$200),"PENDIENTE"))</f>
        <v>PENDIENTE</v>
      </c>
      <c r="F90" s="17" t="str" cm="1">
        <f t="array" ref="F90">IF($A90="","",IFERROR(LOOKUP(2,1/(($K$3:$K$200="Prueba Final")*((($M$3:$M$200=$A90)+($N$3:$N$200=$A90)+($O$3:$O$200=$A90)+($P$3:$P$200=$A90)+($Q$3:$Q$200=$A90)+($R$3:$R$200=$A90)+($S$3:$S$200=$A90)+($T$3:$T$200=$A90)+($U$3:$U$200=$A90)+($V$3:$V$200=$A90)+($W$3:$W$200=$A90)+($X$3:$X$200=$A90)+($Y$3:$Y$200=$A90)+($Z$3:$Z$200=$A90)+($AA$3:$AA$200=$A90))&gt;0)),$L$3:$L$200),"PENDIENTE"))</f>
        <v>PENDIENTE</v>
      </c>
      <c r="G90" s="17" t="str">
        <f t="shared" si="2"/>
        <v>PENDIENTE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7.7" customHeight="1">
      <c r="A91" s="30" t="str">
        <f>IF(Producción!A91="","",Producción!A91)</f>
        <v>0113</v>
      </c>
      <c r="B91" s="17" t="str" cm="1">
        <f t="array" ref="B91">IF($A91="","",IFERROR(LOOKUP(2,1/(($K$3:$K$200="Soldadura")*((($M$3:$M$200=$A91)+($N$3:$N$200=$A91)+($O$3:$O$200=$A91)+($P$3:$P$200=$A91)+($Q$3:$Q$200=$A91)+($R$3:$R$200=$A91)+($S$3:$S$200=$A91)+($T$3:$T$200=$A91)+($U$3:$U$200=$A91)+($V$3:$V$200=$A91)+($W$3:$W$200=$A91)+($X$3:$X$200=$A91)+($Y$3:$Y$200=$A91)+($Z$3:$Z$200=$A91)+($AA$3:$AA$200=$A91))&gt;0)),$L$3:$L$200),"PENDIENTE"))</f>
        <v>PENDIENTE</v>
      </c>
      <c r="C91" s="17" t="str" cm="1">
        <f t="array" ref="C91">IF($A91="","",IFERROR(LOOKUP(2,1/(($K$3:$K$200="Programación")*((($M$3:$M$200=$A91)+($N$3:$N$200=$A91)+($O$3:$O$200=$A91)+($P$3:$P$200=$A91)+($Q$3:$Q$200=$A91)+($R$3:$R$200=$A91)+($S$3:$S$200=$A91)+($T$3:$T$200=$A91)+($U$3:$U$200=$A91)+($V$3:$V$200=$A91)+($W$3:$W$200=$A91)+($X$3:$X$200=$A91)+($Y$3:$Y$200=$A91)+($Z$3:$Z$200=$A91)+($AA$3:$AA$200=$A91))&gt;0)),$L$3:$L$200),"PENDIENTE"))</f>
        <v>PENDIENTE</v>
      </c>
      <c r="D91" s="17" t="str" cm="1">
        <f t="array" ref="D91">IF($A91="","",IFERROR(LOOKUP(2,1/(($K$3:$K$200="Prueba PCB")*((($M$3:$M$200=$A91)+($N$3:$N$200=$A91)+($O$3:$O$200=$A91)+($P$3:$P$200=$A91)+($Q$3:$Q$200=$A91)+($R$3:$R$200=$A91)+($S$3:$S$200=$A91)+($T$3:$T$200=$A91)+($U$3:$U$200=$A91)+($V$3:$V$200=$A91)+($W$3:$W$200=$A91)+($X$3:$X$200=$A91)+($Y$3:$Y$200=$A91)+($Z$3:$Z$200=$A91)+($AA$3:$AA$200=$A91))&gt;0)),$L$3:$L$200),"PENDIENTE"))</f>
        <v>PENDIENTE</v>
      </c>
      <c r="E91" s="17" t="str" cm="1">
        <f t="array" ref="E91">IF($A91="","",IFERROR(LOOKUP(2,1/(($K$3:$K$200="Integración")*((($M$3:$M$200=$A91)+($N$3:$N$200=$A91)+($O$3:$O$200=$A91)+($P$3:$P$200=$A91)+($Q$3:$Q$200=$A91)+($R$3:$R$200=$A91)+($S$3:$S$200=$A91)+($T$3:$T$200=$A91)+($U$3:$U$200=$A91)+($V$3:$V$200=$A91)+($W$3:$W$200=$A91)+($X$3:$X$200=$A91)+($Y$3:$Y$200=$A91)+($Z$3:$Z$200=$A91)+($AA$3:$AA$200=$A91))&gt;0)),$L$3:$L$200),"PENDIENTE"))</f>
        <v>PENDIENTE</v>
      </c>
      <c r="F91" s="17" t="str" cm="1">
        <f t="array" ref="F91">IF($A91="","",IFERROR(LOOKUP(2,1/(($K$3:$K$200="Prueba Final")*((($M$3:$M$200=$A91)+($N$3:$N$200=$A91)+($O$3:$O$200=$A91)+($P$3:$P$200=$A91)+($Q$3:$Q$200=$A91)+($R$3:$R$200=$A91)+($S$3:$S$200=$A91)+($T$3:$T$200=$A91)+($U$3:$U$200=$A91)+($V$3:$V$200=$A91)+($W$3:$W$200=$A91)+($X$3:$X$200=$A91)+($Y$3:$Y$200=$A91)+($Z$3:$Z$200=$A91)+($AA$3:$AA$200=$A91))&gt;0)),$L$3:$L$200),"PENDIENTE"))</f>
        <v>PENDIENTE</v>
      </c>
      <c r="G91" s="17" t="str">
        <f t="shared" si="2"/>
        <v>PENDIENTE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7.7" customHeight="1">
      <c r="A92" s="30" t="str">
        <f>IF(Producción!A92="","",Producción!A92)</f>
        <v>0114</v>
      </c>
      <c r="B92" s="17" t="str" cm="1">
        <f t="array" ref="B92">IF($A92="","",IFERROR(LOOKUP(2,1/(($K$3:$K$200="Soldadura")*((($M$3:$M$200=$A92)+($N$3:$N$200=$A92)+($O$3:$O$200=$A92)+($P$3:$P$200=$A92)+($Q$3:$Q$200=$A92)+($R$3:$R$200=$A92)+($S$3:$S$200=$A92)+($T$3:$T$200=$A92)+($U$3:$U$200=$A92)+($V$3:$V$200=$A92)+($W$3:$W$200=$A92)+($X$3:$X$200=$A92)+($Y$3:$Y$200=$A92)+($Z$3:$Z$200=$A92)+($AA$3:$AA$200=$A92))&gt;0)),$L$3:$L$200),"PENDIENTE"))</f>
        <v>PENDIENTE</v>
      </c>
      <c r="C92" s="17" t="str" cm="1">
        <f t="array" ref="C92">IF($A92="","",IFERROR(LOOKUP(2,1/(($K$3:$K$200="Programación")*((($M$3:$M$200=$A92)+($N$3:$N$200=$A92)+($O$3:$O$200=$A92)+($P$3:$P$200=$A92)+($Q$3:$Q$200=$A92)+($R$3:$R$200=$A92)+($S$3:$S$200=$A92)+($T$3:$T$200=$A92)+($U$3:$U$200=$A92)+($V$3:$V$200=$A92)+($W$3:$W$200=$A92)+($X$3:$X$200=$A92)+($Y$3:$Y$200=$A92)+($Z$3:$Z$200=$A92)+($AA$3:$AA$200=$A92))&gt;0)),$L$3:$L$200),"PENDIENTE"))</f>
        <v>PENDIENTE</v>
      </c>
      <c r="D92" s="17" t="str" cm="1">
        <f t="array" ref="D92">IF($A92="","",IFERROR(LOOKUP(2,1/(($K$3:$K$200="Prueba PCB")*((($M$3:$M$200=$A92)+($N$3:$N$200=$A92)+($O$3:$O$200=$A92)+($P$3:$P$200=$A92)+($Q$3:$Q$200=$A92)+($R$3:$R$200=$A92)+($S$3:$S$200=$A92)+($T$3:$T$200=$A92)+($U$3:$U$200=$A92)+($V$3:$V$200=$A92)+($W$3:$W$200=$A92)+($X$3:$X$200=$A92)+($Y$3:$Y$200=$A92)+($Z$3:$Z$200=$A92)+($AA$3:$AA$200=$A92))&gt;0)),$L$3:$L$200),"PENDIENTE"))</f>
        <v>PENDIENTE</v>
      </c>
      <c r="E92" s="17" t="str" cm="1">
        <f t="array" ref="E92">IF($A92="","",IFERROR(LOOKUP(2,1/(($K$3:$K$200="Integración")*((($M$3:$M$200=$A92)+($N$3:$N$200=$A92)+($O$3:$O$200=$A92)+($P$3:$P$200=$A92)+($Q$3:$Q$200=$A92)+($R$3:$R$200=$A92)+($S$3:$S$200=$A92)+($T$3:$T$200=$A92)+($U$3:$U$200=$A92)+($V$3:$V$200=$A92)+($W$3:$W$200=$A92)+($X$3:$X$200=$A92)+($Y$3:$Y$200=$A92)+($Z$3:$Z$200=$A92)+($AA$3:$AA$200=$A92))&gt;0)),$L$3:$L$200),"PENDIENTE"))</f>
        <v>PENDIENTE</v>
      </c>
      <c r="F92" s="17" t="str" cm="1">
        <f t="array" ref="F92">IF($A92="","",IFERROR(LOOKUP(2,1/(($K$3:$K$200="Prueba Final")*((($M$3:$M$200=$A92)+($N$3:$N$200=$A92)+($O$3:$O$200=$A92)+($P$3:$P$200=$A92)+($Q$3:$Q$200=$A92)+($R$3:$R$200=$A92)+($S$3:$S$200=$A92)+($T$3:$T$200=$A92)+($U$3:$U$200=$A92)+($V$3:$V$200=$A92)+($W$3:$W$200=$A92)+($X$3:$X$200=$A92)+($Y$3:$Y$200=$A92)+($Z$3:$Z$200=$A92)+($AA$3:$AA$200=$A92))&gt;0)),$L$3:$L$200),"PENDIENTE"))</f>
        <v>PENDIENTE</v>
      </c>
      <c r="G92" s="17" t="str">
        <f t="shared" si="2"/>
        <v>PENDIENTE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7.7" customHeight="1">
      <c r="A93" s="30" t="str">
        <f>IF(Producción!A93="","",Producción!A93)</f>
        <v>0119</v>
      </c>
      <c r="B93" s="17" t="str" cm="1">
        <f t="array" ref="B93">IF($A93="","",IFERROR(LOOKUP(2,1/(($K$3:$K$200="Soldadura")*((($M$3:$M$200=$A93)+($N$3:$N$200=$A93)+($O$3:$O$200=$A93)+($P$3:$P$200=$A93)+($Q$3:$Q$200=$A93)+($R$3:$R$200=$A93)+($S$3:$S$200=$A93)+($T$3:$T$200=$A93)+($U$3:$U$200=$A93)+($V$3:$V$200=$A93)+($W$3:$W$200=$A93)+($X$3:$X$200=$A93)+($Y$3:$Y$200=$A93)+($Z$3:$Z$200=$A93)+($AA$3:$AA$200=$A93))&gt;0)),$L$3:$L$200),"PENDIENTE"))</f>
        <v>PENDIENTE</v>
      </c>
      <c r="C93" s="17" t="str" cm="1">
        <f t="array" ref="C93">IF($A93="","",IFERROR(LOOKUP(2,1/(($K$3:$K$200="Programación")*((($M$3:$M$200=$A93)+($N$3:$N$200=$A93)+($O$3:$O$200=$A93)+($P$3:$P$200=$A93)+($Q$3:$Q$200=$A93)+($R$3:$R$200=$A93)+($S$3:$S$200=$A93)+($T$3:$T$200=$A93)+($U$3:$U$200=$A93)+($V$3:$V$200=$A93)+($W$3:$W$200=$A93)+($X$3:$X$200=$A93)+($Y$3:$Y$200=$A93)+($Z$3:$Z$200=$A93)+($AA$3:$AA$200=$A93))&gt;0)),$L$3:$L$200),"PENDIENTE"))</f>
        <v>PENDIENTE</v>
      </c>
      <c r="D93" s="17" t="str" cm="1">
        <f t="array" ref="D93">IF($A93="","",IFERROR(LOOKUP(2,1/(($K$3:$K$200="Prueba PCB")*((($M$3:$M$200=$A93)+($N$3:$N$200=$A93)+($O$3:$O$200=$A93)+($P$3:$P$200=$A93)+($Q$3:$Q$200=$A93)+($R$3:$R$200=$A93)+($S$3:$S$200=$A93)+($T$3:$T$200=$A93)+($U$3:$U$200=$A93)+($V$3:$V$200=$A93)+($W$3:$W$200=$A93)+($X$3:$X$200=$A93)+($Y$3:$Y$200=$A93)+($Z$3:$Z$200=$A93)+($AA$3:$AA$200=$A93))&gt;0)),$L$3:$L$200),"PENDIENTE"))</f>
        <v>PENDIENTE</v>
      </c>
      <c r="E93" s="17" t="str" cm="1">
        <f t="array" ref="E93">IF($A93="","",IFERROR(LOOKUP(2,1/(($K$3:$K$200="Integración")*((($M$3:$M$200=$A93)+($N$3:$N$200=$A93)+($O$3:$O$200=$A93)+($P$3:$P$200=$A93)+($Q$3:$Q$200=$A93)+($R$3:$R$200=$A93)+($S$3:$S$200=$A93)+($T$3:$T$200=$A93)+($U$3:$U$200=$A93)+($V$3:$V$200=$A93)+($W$3:$W$200=$A93)+($X$3:$X$200=$A93)+($Y$3:$Y$200=$A93)+($Z$3:$Z$200=$A93)+($AA$3:$AA$200=$A93))&gt;0)),$L$3:$L$200),"PENDIENTE"))</f>
        <v>PENDIENTE</v>
      </c>
      <c r="F93" s="17" t="str" cm="1">
        <f t="array" ref="F93">IF($A93="","",IFERROR(LOOKUP(2,1/(($K$3:$K$200="Prueba Final")*((($M$3:$M$200=$A93)+($N$3:$N$200=$A93)+($O$3:$O$200=$A93)+($P$3:$P$200=$A93)+($Q$3:$Q$200=$A93)+($R$3:$R$200=$A93)+($S$3:$S$200=$A93)+($T$3:$T$200=$A93)+($U$3:$U$200=$A93)+($V$3:$V$200=$A93)+($W$3:$W$200=$A93)+($X$3:$X$200=$A93)+($Y$3:$Y$200=$A93)+($Z$3:$Z$200=$A93)+($AA$3:$AA$200=$A93))&gt;0)),$L$3:$L$200),"PENDIENTE"))</f>
        <v>PENDIENTE</v>
      </c>
      <c r="G93" s="17" t="str">
        <f t="shared" si="2"/>
        <v>PENDIENTE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7.7" customHeight="1">
      <c r="A94" s="30" t="str">
        <f>IF(Producción!A94="","",Producción!A94)</f>
        <v>0120</v>
      </c>
      <c r="B94" s="17" t="str" cm="1">
        <f t="array" ref="B94">IF($A94="","",IFERROR(LOOKUP(2,1/(($K$3:$K$200="Soldadura")*((($M$3:$M$200=$A94)+($N$3:$N$200=$A94)+($O$3:$O$200=$A94)+($P$3:$P$200=$A94)+($Q$3:$Q$200=$A94)+($R$3:$R$200=$A94)+($S$3:$S$200=$A94)+($T$3:$T$200=$A94)+($U$3:$U$200=$A94)+($V$3:$V$200=$A94)+($W$3:$W$200=$A94)+($X$3:$X$200=$A94)+($Y$3:$Y$200=$A94)+($Z$3:$Z$200=$A94)+($AA$3:$AA$200=$A94))&gt;0)),$L$3:$L$200),"PENDIENTE"))</f>
        <v>PENDIENTE</v>
      </c>
      <c r="C94" s="17" t="str" cm="1">
        <f t="array" ref="C94">IF($A94="","",IFERROR(LOOKUP(2,1/(($K$3:$K$200="Programación")*((($M$3:$M$200=$A94)+($N$3:$N$200=$A94)+($O$3:$O$200=$A94)+($P$3:$P$200=$A94)+($Q$3:$Q$200=$A94)+($R$3:$R$200=$A94)+($S$3:$S$200=$A94)+($T$3:$T$200=$A94)+($U$3:$U$200=$A94)+($V$3:$V$200=$A94)+($W$3:$W$200=$A94)+($X$3:$X$200=$A94)+($Y$3:$Y$200=$A94)+($Z$3:$Z$200=$A94)+($AA$3:$AA$200=$A94))&gt;0)),$L$3:$L$200),"PENDIENTE"))</f>
        <v>PENDIENTE</v>
      </c>
      <c r="D94" s="17" t="str" cm="1">
        <f t="array" ref="D94">IF($A94="","",IFERROR(LOOKUP(2,1/(($K$3:$K$200="Prueba PCB")*((($M$3:$M$200=$A94)+($N$3:$N$200=$A94)+($O$3:$O$200=$A94)+($P$3:$P$200=$A94)+($Q$3:$Q$200=$A94)+($R$3:$R$200=$A94)+($S$3:$S$200=$A94)+($T$3:$T$200=$A94)+($U$3:$U$200=$A94)+($V$3:$V$200=$A94)+($W$3:$W$200=$A94)+($X$3:$X$200=$A94)+($Y$3:$Y$200=$A94)+($Z$3:$Z$200=$A94)+($AA$3:$AA$200=$A94))&gt;0)),$L$3:$L$200),"PENDIENTE"))</f>
        <v>PENDIENTE</v>
      </c>
      <c r="E94" s="17" t="str" cm="1">
        <f t="array" ref="E94">IF($A94="","",IFERROR(LOOKUP(2,1/(($K$3:$K$200="Integración")*((($M$3:$M$200=$A94)+($N$3:$N$200=$A94)+($O$3:$O$200=$A94)+($P$3:$P$200=$A94)+($Q$3:$Q$200=$A94)+($R$3:$R$200=$A94)+($S$3:$S$200=$A94)+($T$3:$T$200=$A94)+($U$3:$U$200=$A94)+($V$3:$V$200=$A94)+($W$3:$W$200=$A94)+($X$3:$X$200=$A94)+($Y$3:$Y$200=$A94)+($Z$3:$Z$200=$A94)+($AA$3:$AA$200=$A94))&gt;0)),$L$3:$L$200),"PENDIENTE"))</f>
        <v>PENDIENTE</v>
      </c>
      <c r="F94" s="17" t="str" cm="1">
        <f t="array" ref="F94">IF($A94="","",IFERROR(LOOKUP(2,1/(($K$3:$K$200="Prueba Final")*((($M$3:$M$200=$A94)+($N$3:$N$200=$A94)+($O$3:$O$200=$A94)+($P$3:$P$200=$A94)+($Q$3:$Q$200=$A94)+($R$3:$R$200=$A94)+($S$3:$S$200=$A94)+($T$3:$T$200=$A94)+($U$3:$U$200=$A94)+($V$3:$V$200=$A94)+($W$3:$W$200=$A94)+($X$3:$X$200=$A94)+($Y$3:$Y$200=$A94)+($Z$3:$Z$200=$A94)+($AA$3:$AA$200=$A94))&gt;0)),$L$3:$L$200),"PENDIENTE"))</f>
        <v>PENDIENTE</v>
      </c>
      <c r="G94" s="17" t="str">
        <f t="shared" si="2"/>
        <v>PENDIENTE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7.7" customHeight="1">
      <c r="A95" s="30" t="str">
        <f>IF(Producción!A95="","",Producción!A95)</f>
        <v>0121</v>
      </c>
      <c r="B95" s="17" t="str" cm="1">
        <f t="array" ref="B95">IF($A95="","",IFERROR(LOOKUP(2,1/(($K$3:$K$200="Soldadura")*((($M$3:$M$200=$A95)+($N$3:$N$200=$A95)+($O$3:$O$200=$A95)+($P$3:$P$200=$A95)+($Q$3:$Q$200=$A95)+($R$3:$R$200=$A95)+($S$3:$S$200=$A95)+($T$3:$T$200=$A95)+($U$3:$U$200=$A95)+($V$3:$V$200=$A95)+($W$3:$W$200=$A95)+($X$3:$X$200=$A95)+($Y$3:$Y$200=$A95)+($Z$3:$Z$200=$A95)+($AA$3:$AA$200=$A95))&gt;0)),$L$3:$L$200),"PENDIENTE"))</f>
        <v>PENDIENTE</v>
      </c>
      <c r="C95" s="17" t="str" cm="1">
        <f t="array" ref="C95">IF($A95="","",IFERROR(LOOKUP(2,1/(($K$3:$K$200="Programación")*((($M$3:$M$200=$A95)+($N$3:$N$200=$A95)+($O$3:$O$200=$A95)+($P$3:$P$200=$A95)+($Q$3:$Q$200=$A95)+($R$3:$R$200=$A95)+($S$3:$S$200=$A95)+($T$3:$T$200=$A95)+($U$3:$U$200=$A95)+($V$3:$V$200=$A95)+($W$3:$W$200=$A95)+($X$3:$X$200=$A95)+($Y$3:$Y$200=$A95)+($Z$3:$Z$200=$A95)+($AA$3:$AA$200=$A95))&gt;0)),$L$3:$L$200),"PENDIENTE"))</f>
        <v>PENDIENTE</v>
      </c>
      <c r="D95" s="17" t="str" cm="1">
        <f t="array" ref="D95">IF($A95="","",IFERROR(LOOKUP(2,1/(($K$3:$K$200="Prueba PCB")*((($M$3:$M$200=$A95)+($N$3:$N$200=$A95)+($O$3:$O$200=$A95)+($P$3:$P$200=$A95)+($Q$3:$Q$200=$A95)+($R$3:$R$200=$A95)+($S$3:$S$200=$A95)+($T$3:$T$200=$A95)+($U$3:$U$200=$A95)+($V$3:$V$200=$A95)+($W$3:$W$200=$A95)+($X$3:$X$200=$A95)+($Y$3:$Y$200=$A95)+($Z$3:$Z$200=$A95)+($AA$3:$AA$200=$A95))&gt;0)),$L$3:$L$200),"PENDIENTE"))</f>
        <v>PENDIENTE</v>
      </c>
      <c r="E95" s="17" t="str" cm="1">
        <f t="array" ref="E95">IF($A95="","",IFERROR(LOOKUP(2,1/(($K$3:$K$200="Integración")*((($M$3:$M$200=$A95)+($N$3:$N$200=$A95)+($O$3:$O$200=$A95)+($P$3:$P$200=$A95)+($Q$3:$Q$200=$A95)+($R$3:$R$200=$A95)+($S$3:$S$200=$A95)+($T$3:$T$200=$A95)+($U$3:$U$200=$A95)+($V$3:$V$200=$A95)+($W$3:$W$200=$A95)+($X$3:$X$200=$A95)+($Y$3:$Y$200=$A95)+($Z$3:$Z$200=$A95)+($AA$3:$AA$200=$A95))&gt;0)),$L$3:$L$200),"PENDIENTE"))</f>
        <v>PENDIENTE</v>
      </c>
      <c r="F95" s="17" t="str" cm="1">
        <f t="array" ref="F95">IF($A95="","",IFERROR(LOOKUP(2,1/(($K$3:$K$200="Prueba Final")*((($M$3:$M$200=$A95)+($N$3:$N$200=$A95)+($O$3:$O$200=$A95)+($P$3:$P$200=$A95)+($Q$3:$Q$200=$A95)+($R$3:$R$200=$A95)+($S$3:$S$200=$A95)+($T$3:$T$200=$A95)+($U$3:$U$200=$A95)+($V$3:$V$200=$A95)+($W$3:$W$200=$A95)+($X$3:$X$200=$A95)+($Y$3:$Y$200=$A95)+($Z$3:$Z$200=$A95)+($AA$3:$AA$200=$A95))&gt;0)),$L$3:$L$200),"PENDIENTE"))</f>
        <v>PENDIENTE</v>
      </c>
      <c r="G95" s="17" t="str">
        <f t="shared" si="2"/>
        <v>PENDIENTE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7.7" customHeight="1">
      <c r="A96" s="30" t="str">
        <f>IF(Producción!A96="","",Producción!A96)</f>
        <v>0122</v>
      </c>
      <c r="B96" s="17" t="str" cm="1">
        <f t="array" ref="B96">IF($A96="","",IFERROR(LOOKUP(2,1/(($K$3:$K$200="Soldadura")*((($M$3:$M$200=$A96)+($N$3:$N$200=$A96)+($O$3:$O$200=$A96)+($P$3:$P$200=$A96)+($Q$3:$Q$200=$A96)+($R$3:$R$200=$A96)+($S$3:$S$200=$A96)+($T$3:$T$200=$A96)+($U$3:$U$200=$A96)+($V$3:$V$200=$A96)+($W$3:$W$200=$A96)+($X$3:$X$200=$A96)+($Y$3:$Y$200=$A96)+($Z$3:$Z$200=$A96)+($AA$3:$AA$200=$A96))&gt;0)),$L$3:$L$200),"PENDIENTE"))</f>
        <v>PENDIENTE</v>
      </c>
      <c r="C96" s="17" t="str" cm="1">
        <f t="array" ref="C96">IF($A96="","",IFERROR(LOOKUP(2,1/(($K$3:$K$200="Programación")*((($M$3:$M$200=$A96)+($N$3:$N$200=$A96)+($O$3:$O$200=$A96)+($P$3:$P$200=$A96)+($Q$3:$Q$200=$A96)+($R$3:$R$200=$A96)+($S$3:$S$200=$A96)+($T$3:$T$200=$A96)+($U$3:$U$200=$A96)+($V$3:$V$200=$A96)+($W$3:$W$200=$A96)+($X$3:$X$200=$A96)+($Y$3:$Y$200=$A96)+($Z$3:$Z$200=$A96)+($AA$3:$AA$200=$A96))&gt;0)),$L$3:$L$200),"PENDIENTE"))</f>
        <v>PENDIENTE</v>
      </c>
      <c r="D96" s="17" t="str" cm="1">
        <f t="array" ref="D96">IF($A96="","",IFERROR(LOOKUP(2,1/(($K$3:$K$200="Prueba PCB")*((($M$3:$M$200=$A96)+($N$3:$N$200=$A96)+($O$3:$O$200=$A96)+($P$3:$P$200=$A96)+($Q$3:$Q$200=$A96)+($R$3:$R$200=$A96)+($S$3:$S$200=$A96)+($T$3:$T$200=$A96)+($U$3:$U$200=$A96)+($V$3:$V$200=$A96)+($W$3:$W$200=$A96)+($X$3:$X$200=$A96)+($Y$3:$Y$200=$A96)+($Z$3:$Z$200=$A96)+($AA$3:$AA$200=$A96))&gt;0)),$L$3:$L$200),"PENDIENTE"))</f>
        <v>PENDIENTE</v>
      </c>
      <c r="E96" s="17" t="str" cm="1">
        <f t="array" ref="E96">IF($A96="","",IFERROR(LOOKUP(2,1/(($K$3:$K$200="Integración")*((($M$3:$M$200=$A96)+($N$3:$N$200=$A96)+($O$3:$O$200=$A96)+($P$3:$P$200=$A96)+($Q$3:$Q$200=$A96)+($R$3:$R$200=$A96)+($S$3:$S$200=$A96)+($T$3:$T$200=$A96)+($U$3:$U$200=$A96)+($V$3:$V$200=$A96)+($W$3:$W$200=$A96)+($X$3:$X$200=$A96)+($Y$3:$Y$200=$A96)+($Z$3:$Z$200=$A96)+($AA$3:$AA$200=$A96))&gt;0)),$L$3:$L$200),"PENDIENTE"))</f>
        <v>PENDIENTE</v>
      </c>
      <c r="F96" s="17" t="str" cm="1">
        <f t="array" ref="F96">IF($A96="","",IFERROR(LOOKUP(2,1/(($K$3:$K$200="Prueba Final")*((($M$3:$M$200=$A96)+($N$3:$N$200=$A96)+($O$3:$O$200=$A96)+($P$3:$P$200=$A96)+($Q$3:$Q$200=$A96)+($R$3:$R$200=$A96)+($S$3:$S$200=$A96)+($T$3:$T$200=$A96)+($U$3:$U$200=$A96)+($V$3:$V$200=$A96)+($W$3:$W$200=$A96)+($X$3:$X$200=$A96)+($Y$3:$Y$200=$A96)+($Z$3:$Z$200=$A96)+($AA$3:$AA$200=$A96))&gt;0)),$L$3:$L$200),"PENDIENTE"))</f>
        <v>PENDIENTE</v>
      </c>
      <c r="G96" s="17" t="str">
        <f t="shared" si="2"/>
        <v>PENDIENTE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7.7" customHeight="1">
      <c r="A97" s="30" t="str">
        <f>IF(Producción!A97="","",Producción!A97)</f>
        <v>0123</v>
      </c>
      <c r="B97" s="17" t="str" cm="1">
        <f t="array" ref="B97">IF($A97="","",IFERROR(LOOKUP(2,1/(($K$3:$K$200="Soldadura")*((($M$3:$M$200=$A97)+($N$3:$N$200=$A97)+($O$3:$O$200=$A97)+($P$3:$P$200=$A97)+($Q$3:$Q$200=$A97)+($R$3:$R$200=$A97)+($S$3:$S$200=$A97)+($T$3:$T$200=$A97)+($U$3:$U$200=$A97)+($V$3:$V$200=$A97)+($W$3:$W$200=$A97)+($X$3:$X$200=$A97)+($Y$3:$Y$200=$A97)+($Z$3:$Z$200=$A97)+($AA$3:$AA$200=$A97))&gt;0)),$L$3:$L$200),"PENDIENTE"))</f>
        <v>PENDIENTE</v>
      </c>
      <c r="C97" s="17" t="str" cm="1">
        <f t="array" ref="C97">IF($A97="","",IFERROR(LOOKUP(2,1/(($K$3:$K$200="Programación")*((($M$3:$M$200=$A97)+($N$3:$N$200=$A97)+($O$3:$O$200=$A97)+($P$3:$P$200=$A97)+($Q$3:$Q$200=$A97)+($R$3:$R$200=$A97)+($S$3:$S$200=$A97)+($T$3:$T$200=$A97)+($U$3:$U$200=$A97)+($V$3:$V$200=$A97)+($W$3:$W$200=$A97)+($X$3:$X$200=$A97)+($Y$3:$Y$200=$A97)+($Z$3:$Z$200=$A97)+($AA$3:$AA$200=$A97))&gt;0)),$L$3:$L$200),"PENDIENTE"))</f>
        <v>PENDIENTE</v>
      </c>
      <c r="D97" s="17" t="str" cm="1">
        <f t="array" ref="D97">IF($A97="","",IFERROR(LOOKUP(2,1/(($K$3:$K$200="Prueba PCB")*((($M$3:$M$200=$A97)+($N$3:$N$200=$A97)+($O$3:$O$200=$A97)+($P$3:$P$200=$A97)+($Q$3:$Q$200=$A97)+($R$3:$R$200=$A97)+($S$3:$S$200=$A97)+($T$3:$T$200=$A97)+($U$3:$U$200=$A97)+($V$3:$V$200=$A97)+($W$3:$W$200=$A97)+($X$3:$X$200=$A97)+($Y$3:$Y$200=$A97)+($Z$3:$Z$200=$A97)+($AA$3:$AA$200=$A97))&gt;0)),$L$3:$L$200),"PENDIENTE"))</f>
        <v>PENDIENTE</v>
      </c>
      <c r="E97" s="17" t="str" cm="1">
        <f t="array" ref="E97">IF($A97="","",IFERROR(LOOKUP(2,1/(($K$3:$K$200="Integración")*((($M$3:$M$200=$A97)+($N$3:$N$200=$A97)+($O$3:$O$200=$A97)+($P$3:$P$200=$A97)+($Q$3:$Q$200=$A97)+($R$3:$R$200=$A97)+($S$3:$S$200=$A97)+($T$3:$T$200=$A97)+($U$3:$U$200=$A97)+($V$3:$V$200=$A97)+($W$3:$W$200=$A97)+($X$3:$X$200=$A97)+($Y$3:$Y$200=$A97)+($Z$3:$Z$200=$A97)+($AA$3:$AA$200=$A97))&gt;0)),$L$3:$L$200),"PENDIENTE"))</f>
        <v>PENDIENTE</v>
      </c>
      <c r="F97" s="17" t="str" cm="1">
        <f t="array" ref="F97">IF($A97="","",IFERROR(LOOKUP(2,1/(($K$3:$K$200="Prueba Final")*((($M$3:$M$200=$A97)+($N$3:$N$200=$A97)+($O$3:$O$200=$A97)+($P$3:$P$200=$A97)+($Q$3:$Q$200=$A97)+($R$3:$R$200=$A97)+($S$3:$S$200=$A97)+($T$3:$T$200=$A97)+($U$3:$U$200=$A97)+($V$3:$V$200=$A97)+($W$3:$W$200=$A97)+($X$3:$X$200=$A97)+($Y$3:$Y$200=$A97)+($Z$3:$Z$200=$A97)+($AA$3:$AA$200=$A97))&gt;0)),$L$3:$L$200),"PENDIENTE"))</f>
        <v>PENDIENTE</v>
      </c>
      <c r="G97" s="17" t="str">
        <f t="shared" si="2"/>
        <v>PENDIENTE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7.7" customHeight="1">
      <c r="A98" s="30" t="str">
        <f>IF(Producción!A98="","",Producción!A98)</f>
        <v>0125</v>
      </c>
      <c r="B98" s="17" t="str" cm="1">
        <f t="array" ref="B98">IF($A98="","",IFERROR(LOOKUP(2,1/(($K$3:$K$200="Soldadura")*((($M$3:$M$200=$A98)+($N$3:$N$200=$A98)+($O$3:$O$200=$A98)+($P$3:$P$200=$A98)+($Q$3:$Q$200=$A98)+($R$3:$R$200=$A98)+($S$3:$S$200=$A98)+($T$3:$T$200=$A98)+($U$3:$U$200=$A98)+($V$3:$V$200=$A98)+($W$3:$W$200=$A98)+($X$3:$X$200=$A98)+($Y$3:$Y$200=$A98)+($Z$3:$Z$200=$A98)+($AA$3:$AA$200=$A98))&gt;0)),$L$3:$L$200),"PENDIENTE"))</f>
        <v>PENDIENTE</v>
      </c>
      <c r="C98" s="17" t="str" cm="1">
        <f t="array" ref="C98">IF($A98="","",IFERROR(LOOKUP(2,1/(($K$3:$K$200="Programación")*((($M$3:$M$200=$A98)+($N$3:$N$200=$A98)+($O$3:$O$200=$A98)+($P$3:$P$200=$A98)+($Q$3:$Q$200=$A98)+($R$3:$R$200=$A98)+($S$3:$S$200=$A98)+($T$3:$T$200=$A98)+($U$3:$U$200=$A98)+($V$3:$V$200=$A98)+($W$3:$W$200=$A98)+($X$3:$X$200=$A98)+($Y$3:$Y$200=$A98)+($Z$3:$Z$200=$A98)+($AA$3:$AA$200=$A98))&gt;0)),$L$3:$L$200),"PENDIENTE"))</f>
        <v>PENDIENTE</v>
      </c>
      <c r="D98" s="17" t="str" cm="1">
        <f t="array" ref="D98">IF($A98="","",IFERROR(LOOKUP(2,1/(($K$3:$K$200="Prueba PCB")*((($M$3:$M$200=$A98)+($N$3:$N$200=$A98)+($O$3:$O$200=$A98)+($P$3:$P$200=$A98)+($Q$3:$Q$200=$A98)+($R$3:$R$200=$A98)+($S$3:$S$200=$A98)+($T$3:$T$200=$A98)+($U$3:$U$200=$A98)+($V$3:$V$200=$A98)+($W$3:$W$200=$A98)+($X$3:$X$200=$A98)+($Y$3:$Y$200=$A98)+($Z$3:$Z$200=$A98)+($AA$3:$AA$200=$A98))&gt;0)),$L$3:$L$200),"PENDIENTE"))</f>
        <v>PENDIENTE</v>
      </c>
      <c r="E98" s="17" t="str" cm="1">
        <f t="array" ref="E98">IF($A98="","",IFERROR(LOOKUP(2,1/(($K$3:$K$200="Integración")*((($M$3:$M$200=$A98)+($N$3:$N$200=$A98)+($O$3:$O$200=$A98)+($P$3:$P$200=$A98)+($Q$3:$Q$200=$A98)+($R$3:$R$200=$A98)+($S$3:$S$200=$A98)+($T$3:$T$200=$A98)+($U$3:$U$200=$A98)+($V$3:$V$200=$A98)+($W$3:$W$200=$A98)+($X$3:$X$200=$A98)+($Y$3:$Y$200=$A98)+($Z$3:$Z$200=$A98)+($AA$3:$AA$200=$A98))&gt;0)),$L$3:$L$200),"PENDIENTE"))</f>
        <v>PENDIENTE</v>
      </c>
      <c r="F98" s="17" t="str" cm="1">
        <f t="array" ref="F98">IF($A98="","",IFERROR(LOOKUP(2,1/(($K$3:$K$200="Prueba Final")*((($M$3:$M$200=$A98)+($N$3:$N$200=$A98)+($O$3:$O$200=$A98)+($P$3:$P$200=$A98)+($Q$3:$Q$200=$A98)+($R$3:$R$200=$A98)+($S$3:$S$200=$A98)+($T$3:$T$200=$A98)+($U$3:$U$200=$A98)+($V$3:$V$200=$A98)+($W$3:$W$200=$A98)+($X$3:$X$200=$A98)+($Y$3:$Y$200=$A98)+($Z$3:$Z$200=$A98)+($AA$3:$AA$200=$A98))&gt;0)),$L$3:$L$200),"PENDIENTE"))</f>
        <v>PENDIENTE</v>
      </c>
      <c r="G98" s="17" t="str">
        <f t="shared" ref="G98:G101" si="3">IF($A98="","",IF(COUNTIF(B98:F98,"FALLA")&gt;0,"DETENIDO",IF(COUNTIF(B98:F98,"RETRABAJO")&gt;0,"RETRABAJO",IF(COUNTIF(B98:F98,"OK")+COUNTIF(B98:F98,"NO APLICA")=5,"LIBERADO",IF(COUNTIF(B98:F98,"PENDIENTE")=5,"PENDIENTE","EN PROCESO")))))</f>
        <v>PENDIENTE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7.7" customHeight="1">
      <c r="A99" s="30" t="str">
        <f>IF(Producción!A99="","",Producción!A99)</f>
        <v>0127</v>
      </c>
      <c r="B99" s="17" t="str" cm="1">
        <f t="array" ref="B99">IF($A99="","",IFERROR(LOOKUP(2,1/(($K$3:$K$200="Soldadura")*((($M$3:$M$200=$A99)+($N$3:$N$200=$A99)+($O$3:$O$200=$A99)+($P$3:$P$200=$A99)+($Q$3:$Q$200=$A99)+($R$3:$R$200=$A99)+($S$3:$S$200=$A99)+($T$3:$T$200=$A99)+($U$3:$U$200=$A99)+($V$3:$V$200=$A99)+($W$3:$W$200=$A99)+($X$3:$X$200=$A99)+($Y$3:$Y$200=$A99)+($Z$3:$Z$200=$A99)+($AA$3:$AA$200=$A99))&gt;0)),$L$3:$L$200),"PENDIENTE"))</f>
        <v>PENDIENTE</v>
      </c>
      <c r="C99" s="17" t="str" cm="1">
        <f t="array" ref="C99">IF($A99="","",IFERROR(LOOKUP(2,1/(($K$3:$K$200="Programación")*((($M$3:$M$200=$A99)+($N$3:$N$200=$A99)+($O$3:$O$200=$A99)+($P$3:$P$200=$A99)+($Q$3:$Q$200=$A99)+($R$3:$R$200=$A99)+($S$3:$S$200=$A99)+($T$3:$T$200=$A99)+($U$3:$U$200=$A99)+($V$3:$V$200=$A99)+($W$3:$W$200=$A99)+($X$3:$X$200=$A99)+($Y$3:$Y$200=$A99)+($Z$3:$Z$200=$A99)+($AA$3:$AA$200=$A99))&gt;0)),$L$3:$L$200),"PENDIENTE"))</f>
        <v>PENDIENTE</v>
      </c>
      <c r="D99" s="17" t="str" cm="1">
        <f t="array" ref="D99">IF($A99="","",IFERROR(LOOKUP(2,1/(($K$3:$K$200="Prueba PCB")*((($M$3:$M$200=$A99)+($N$3:$N$200=$A99)+($O$3:$O$200=$A99)+($P$3:$P$200=$A99)+($Q$3:$Q$200=$A99)+($R$3:$R$200=$A99)+($S$3:$S$200=$A99)+($T$3:$T$200=$A99)+($U$3:$U$200=$A99)+($V$3:$V$200=$A99)+($W$3:$W$200=$A99)+($X$3:$X$200=$A99)+($Y$3:$Y$200=$A99)+($Z$3:$Z$200=$A99)+($AA$3:$AA$200=$A99))&gt;0)),$L$3:$L$200),"PENDIENTE"))</f>
        <v>PENDIENTE</v>
      </c>
      <c r="E99" s="17" t="str" cm="1">
        <f t="array" ref="E99">IF($A99="","",IFERROR(LOOKUP(2,1/(($K$3:$K$200="Integración")*((($M$3:$M$200=$A99)+($N$3:$N$200=$A99)+($O$3:$O$200=$A99)+($P$3:$P$200=$A99)+($Q$3:$Q$200=$A99)+($R$3:$R$200=$A99)+($S$3:$S$200=$A99)+($T$3:$T$200=$A99)+($U$3:$U$200=$A99)+($V$3:$V$200=$A99)+($W$3:$W$200=$A99)+($X$3:$X$200=$A99)+($Y$3:$Y$200=$A99)+($Z$3:$Z$200=$A99)+($AA$3:$AA$200=$A99))&gt;0)),$L$3:$L$200),"PENDIENTE"))</f>
        <v>PENDIENTE</v>
      </c>
      <c r="F99" s="17" t="str" cm="1">
        <f t="array" ref="F99">IF($A99="","",IFERROR(LOOKUP(2,1/(($K$3:$K$200="Prueba Final")*((($M$3:$M$200=$A99)+($N$3:$N$200=$A99)+($O$3:$O$200=$A99)+($P$3:$P$200=$A99)+($Q$3:$Q$200=$A99)+($R$3:$R$200=$A99)+($S$3:$S$200=$A99)+($T$3:$T$200=$A99)+($U$3:$U$200=$A99)+($V$3:$V$200=$A99)+($W$3:$W$200=$A99)+($X$3:$X$200=$A99)+($Y$3:$Y$200=$A99)+($Z$3:$Z$200=$A99)+($AA$3:$AA$200=$A99))&gt;0)),$L$3:$L$200),"PENDIENTE"))</f>
        <v>PENDIENTE</v>
      </c>
      <c r="G99" s="17" t="str">
        <f t="shared" si="3"/>
        <v>PENDIENTE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7.7" customHeight="1">
      <c r="A100" s="30" t="str">
        <f>IF(Producción!A100="","",Producción!A100)</f>
        <v>0128</v>
      </c>
      <c r="B100" s="17" t="str" cm="1">
        <f t="array" ref="B100">IF($A100="","",IFERROR(LOOKUP(2,1/(($K$3:$K$200="Soldadura")*((($M$3:$M$200=$A100)+($N$3:$N$200=$A100)+($O$3:$O$200=$A100)+($P$3:$P$200=$A100)+($Q$3:$Q$200=$A100)+($R$3:$R$200=$A100)+($S$3:$S$200=$A100)+($T$3:$T$200=$A100)+($U$3:$U$200=$A100)+($V$3:$V$200=$A100)+($W$3:$W$200=$A100)+($X$3:$X$200=$A100)+($Y$3:$Y$200=$A100)+($Z$3:$Z$200=$A100)+($AA$3:$AA$200=$A100))&gt;0)),$L$3:$L$200),"PENDIENTE"))</f>
        <v>PENDIENTE</v>
      </c>
      <c r="C100" s="17" t="str" cm="1">
        <f t="array" ref="C100">IF($A100="","",IFERROR(LOOKUP(2,1/(($K$3:$K$200="Programación")*((($M$3:$M$200=$A100)+($N$3:$N$200=$A100)+($O$3:$O$200=$A100)+($P$3:$P$200=$A100)+($Q$3:$Q$200=$A100)+($R$3:$R$200=$A100)+($S$3:$S$200=$A100)+($T$3:$T$200=$A100)+($U$3:$U$200=$A100)+($V$3:$V$200=$A100)+($W$3:$W$200=$A100)+($X$3:$X$200=$A100)+($Y$3:$Y$200=$A100)+($Z$3:$Z$200=$A100)+($AA$3:$AA$200=$A100))&gt;0)),$L$3:$L$200),"PENDIENTE"))</f>
        <v>PENDIENTE</v>
      </c>
      <c r="D100" s="17" t="str" cm="1">
        <f t="array" ref="D100">IF($A100="","",IFERROR(LOOKUP(2,1/(($K$3:$K$200="Prueba PCB")*((($M$3:$M$200=$A100)+($N$3:$N$200=$A100)+($O$3:$O$200=$A100)+($P$3:$P$200=$A100)+($Q$3:$Q$200=$A100)+($R$3:$R$200=$A100)+($S$3:$S$200=$A100)+($T$3:$T$200=$A100)+($U$3:$U$200=$A100)+($V$3:$V$200=$A100)+($W$3:$W$200=$A100)+($X$3:$X$200=$A100)+($Y$3:$Y$200=$A100)+($Z$3:$Z$200=$A100)+($AA$3:$AA$200=$A100))&gt;0)),$L$3:$L$200),"PENDIENTE"))</f>
        <v>PENDIENTE</v>
      </c>
      <c r="E100" s="17" t="str" cm="1">
        <f t="array" ref="E100">IF($A100="","",IFERROR(LOOKUP(2,1/(($K$3:$K$200="Integración")*((($M$3:$M$200=$A100)+($N$3:$N$200=$A100)+($O$3:$O$200=$A100)+($P$3:$P$200=$A100)+($Q$3:$Q$200=$A100)+($R$3:$R$200=$A100)+($S$3:$S$200=$A100)+($T$3:$T$200=$A100)+($U$3:$U$200=$A100)+($V$3:$V$200=$A100)+($W$3:$W$200=$A100)+($X$3:$X$200=$A100)+($Y$3:$Y$200=$A100)+($Z$3:$Z$200=$A100)+($AA$3:$AA$200=$A100))&gt;0)),$L$3:$L$200),"PENDIENTE"))</f>
        <v>PENDIENTE</v>
      </c>
      <c r="F100" s="17" t="str" cm="1">
        <f t="array" ref="F100">IF($A100="","",IFERROR(LOOKUP(2,1/(($K$3:$K$200="Prueba Final")*((($M$3:$M$200=$A100)+($N$3:$N$200=$A100)+($O$3:$O$200=$A100)+($P$3:$P$200=$A100)+($Q$3:$Q$200=$A100)+($R$3:$R$200=$A100)+($S$3:$S$200=$A100)+($T$3:$T$200=$A100)+($U$3:$U$200=$A100)+($V$3:$V$200=$A100)+($W$3:$W$200=$A100)+($X$3:$X$200=$A100)+($Y$3:$Y$200=$A100)+($Z$3:$Z$200=$A100)+($AA$3:$AA$200=$A100))&gt;0)),$L$3:$L$200),"PENDIENTE"))</f>
        <v>PENDIENTE</v>
      </c>
      <c r="G100" s="17" t="str">
        <f t="shared" si="3"/>
        <v>PENDIENTE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7.7" customHeight="1">
      <c r="A101" s="30" t="str">
        <f>IF(Producción!A101="","",Producción!A101)</f>
        <v>0130</v>
      </c>
      <c r="B101" s="17" t="str" cm="1">
        <f t="array" ref="B101">IF($A101="","",IFERROR(LOOKUP(2,1/(($K$3:$K$200="Soldadura")*((($M$3:$M$200=$A101)+($N$3:$N$200=$A101)+($O$3:$O$200=$A101)+($P$3:$P$200=$A101)+($Q$3:$Q$200=$A101)+($R$3:$R$200=$A101)+($S$3:$S$200=$A101)+($T$3:$T$200=$A101)+($U$3:$U$200=$A101)+($V$3:$V$200=$A101)+($W$3:$W$200=$A101)+($X$3:$X$200=$A101)+($Y$3:$Y$200=$A101)+($Z$3:$Z$200=$A101)+($AA$3:$AA$200=$A101))&gt;0)),$L$3:$L$200),"PENDIENTE"))</f>
        <v>PENDIENTE</v>
      </c>
      <c r="C101" s="17" t="str" cm="1">
        <f t="array" ref="C101">IF($A101="","",IFERROR(LOOKUP(2,1/(($K$3:$K$200="Programación")*((($M$3:$M$200=$A101)+($N$3:$N$200=$A101)+($O$3:$O$200=$A101)+($P$3:$P$200=$A101)+($Q$3:$Q$200=$A101)+($R$3:$R$200=$A101)+($S$3:$S$200=$A101)+($T$3:$T$200=$A101)+($U$3:$U$200=$A101)+($V$3:$V$200=$A101)+($W$3:$W$200=$A101)+($X$3:$X$200=$A101)+($Y$3:$Y$200=$A101)+($Z$3:$Z$200=$A101)+($AA$3:$AA$200=$A101))&gt;0)),$L$3:$L$200),"PENDIENTE"))</f>
        <v>PENDIENTE</v>
      </c>
      <c r="D101" s="17" t="str" cm="1">
        <f t="array" ref="D101">IF($A101="","",IFERROR(LOOKUP(2,1/(($K$3:$K$200="Prueba PCB")*((($M$3:$M$200=$A101)+($N$3:$N$200=$A101)+($O$3:$O$200=$A101)+($P$3:$P$200=$A101)+($Q$3:$Q$200=$A101)+($R$3:$R$200=$A101)+($S$3:$S$200=$A101)+($T$3:$T$200=$A101)+($U$3:$U$200=$A101)+($V$3:$V$200=$A101)+($W$3:$W$200=$A101)+($X$3:$X$200=$A101)+($Y$3:$Y$200=$A101)+($Z$3:$Z$200=$A101)+($AA$3:$AA$200=$A101))&gt;0)),$L$3:$L$200),"PENDIENTE"))</f>
        <v>PENDIENTE</v>
      </c>
      <c r="E101" s="17" t="str" cm="1">
        <f t="array" ref="E101">IF($A101="","",IFERROR(LOOKUP(2,1/(($K$3:$K$200="Integración")*((($M$3:$M$200=$A101)+($N$3:$N$200=$A101)+($O$3:$O$200=$A101)+($P$3:$P$200=$A101)+($Q$3:$Q$200=$A101)+($R$3:$R$200=$A101)+($S$3:$S$200=$A101)+($T$3:$T$200=$A101)+($U$3:$U$200=$A101)+($V$3:$V$200=$A101)+($W$3:$W$200=$A101)+($X$3:$X$200=$A101)+($Y$3:$Y$200=$A101)+($Z$3:$Z$200=$A101)+($AA$3:$AA$200=$A101))&gt;0)),$L$3:$L$200),"PENDIENTE"))</f>
        <v>PENDIENTE</v>
      </c>
      <c r="F101" s="17" t="str" cm="1">
        <f t="array" ref="F101">IF($A101="","",IFERROR(LOOKUP(2,1/(($K$3:$K$200="Prueba Final")*((($M$3:$M$200=$A101)+($N$3:$N$200=$A101)+($O$3:$O$200=$A101)+($P$3:$P$200=$A101)+($Q$3:$Q$200=$A101)+($R$3:$R$200=$A101)+($S$3:$S$200=$A101)+($T$3:$T$200=$A101)+($U$3:$U$200=$A101)+($V$3:$V$200=$A101)+($W$3:$W$200=$A101)+($X$3:$X$200=$A101)+($Y$3:$Y$200=$A101)+($Z$3:$Z$200=$A101)+($AA$3:$AA$200=$A101))&gt;0)),$L$3:$L$200),"PENDIENTE"))</f>
        <v>PENDIENTE</v>
      </c>
      <c r="G101" s="17" t="str">
        <f t="shared" si="3"/>
        <v>PENDIENTE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</sheetData>
  <conditionalFormatting sqref="B2:G101">
    <cfRule type="expression" dxfId="78" priority="1">
      <formula>B2="OK"</formula>
    </cfRule>
  </conditionalFormatting>
  <conditionalFormatting sqref="B2:G101">
    <cfRule type="expression" dxfId="77" priority="2">
      <formula>OR(B2="FALLA",B2="DETENIDO")</formula>
    </cfRule>
  </conditionalFormatting>
  <conditionalFormatting sqref="B2:G101">
    <cfRule type="expression" dxfId="76" priority="3">
      <formula>OR(B2="PENDIENTE",B2="EN PROCESO")</formula>
    </cfRule>
  </conditionalFormatting>
  <conditionalFormatting sqref="B2:G101">
    <cfRule type="expression" dxfId="75" priority="4">
      <formula>OR(B2="RETRABAJO",B2="NO APLICA")</formula>
    </cfRule>
  </conditionalFormatting>
  <conditionalFormatting sqref="A2:G101">
    <cfRule type="expression" dxfId="74" priority="8">
      <formula>MOD(ROW(),2)=0</formula>
    </cfRule>
  </conditionalFormatting>
  <conditionalFormatting sqref="J3:AB62">
    <cfRule type="expression" dxfId="73" priority="6">
      <formula>MOD(ROW(),2)=1</formula>
    </cfRule>
  </conditionalFormatting>
  <dataValidations count="4">
    <dataValidation type="list" sqref="B2:F101 L3:L62" xr:uid="{00000000-0002-0000-0100-000000000000}">
      <formula1>"PENDIENTE,OK,FALLA,RETRABAJO,NO APLICA"</formula1>
    </dataValidation>
    <dataValidation type="list" sqref="G2:G101" xr:uid="{00000000-0002-0000-0100-000001000000}">
      <formula1>"PENDIENTE,EN PROCESO,RETRABAJO,DETENIDO,LIBERADO"</formula1>
    </dataValidation>
    <dataValidation type="date" sqref="J3:J62" xr:uid="{00000000-0002-0000-0100-000002000000}">
      <formula1>DATE(2026,1,1)</formula1>
      <formula2>DATE(2035,12,31)</formula2>
    </dataValidation>
    <dataValidation type="list" sqref="K3:K62" xr:uid="{00000000-0002-0000-0100-000003000000}">
      <formula1>"Soldadura,Programación,Prueba PCB,Integración,Prueba Final"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6"/>
  <sheetViews>
    <sheetView topLeftCell="A28" workbookViewId="0">
      <selection activeCell="B3" sqref="B3"/>
    </sheetView>
  </sheetViews>
  <sheetFormatPr baseColWidth="10" defaultColWidth="8.69921875" defaultRowHeight="13.8"/>
  <cols>
    <col min="1" max="1" width="16" customWidth="1"/>
    <col min="2" max="2" width="32" customWidth="1"/>
    <col min="3" max="3" width="16" customWidth="1"/>
    <col min="4" max="4" width="36" customWidth="1"/>
    <col min="5" max="5" width="19" customWidth="1"/>
    <col min="6" max="6" width="20" customWidth="1"/>
    <col min="7" max="7" width="17" customWidth="1"/>
    <col min="8" max="8" width="34" customWidth="1"/>
    <col min="9" max="12" width="4" customWidth="1"/>
  </cols>
  <sheetData>
    <row r="1" spans="1:12" ht="27.15" customHeight="1">
      <c r="A1" s="31" t="s">
        <v>229</v>
      </c>
      <c r="B1" s="32"/>
      <c r="C1" s="32"/>
      <c r="D1" s="32"/>
      <c r="E1" s="32"/>
      <c r="F1" s="32"/>
      <c r="G1" s="33"/>
      <c r="H1" s="33"/>
      <c r="I1" s="34"/>
      <c r="J1" s="35" t="s">
        <v>230</v>
      </c>
      <c r="K1" s="35" t="s">
        <v>231</v>
      </c>
      <c r="L1" s="35" t="s">
        <v>232</v>
      </c>
    </row>
    <row r="2" spans="1:12" ht="17.7" customHeight="1">
      <c r="A2" s="17"/>
      <c r="B2" s="17"/>
      <c r="C2" s="17"/>
      <c r="D2" s="17"/>
      <c r="E2" s="17"/>
      <c r="F2" s="17"/>
      <c r="G2" s="17"/>
      <c r="H2" s="18"/>
      <c r="I2" s="17"/>
      <c r="J2" s="20"/>
      <c r="K2" s="20"/>
      <c r="L2" s="20"/>
    </row>
    <row r="3" spans="1:12" ht="22.35" customHeight="1">
      <c r="A3" s="36" t="s">
        <v>233</v>
      </c>
      <c r="B3" s="37" t="s">
        <v>274</v>
      </c>
      <c r="C3" s="34"/>
      <c r="D3" s="38" t="s">
        <v>208</v>
      </c>
      <c r="E3" s="39" t="str">
        <f>IF($B$3="","SELECCIONA ID",IF(OR(B7="",B9="",IFERROR(INDEX($K$17:$K$116,MATCH($B$3,$B$17:$B$116,0)),"")&lt;&gt;"FUNCIONAL",IFERROR(INDEX($L$17:$L$116,MATCH($B$3,$B$17:$B$116,0)),"")&lt;&gt;"FUNCIONAL"),"REVISAR PCB/MAC","LISTA PARA IMPRIMIR"))</f>
        <v>REVISAR PCB/MAC</v>
      </c>
      <c r="F3" s="36" t="s">
        <v>234</v>
      </c>
      <c r="G3" s="40">
        <f>COUNTIF(A17:A116,"SI")</f>
        <v>0</v>
      </c>
      <c r="H3" s="37"/>
      <c r="I3" s="34"/>
      <c r="J3" s="22"/>
      <c r="K3" s="22"/>
      <c r="L3" s="22"/>
    </row>
    <row r="4" spans="1:12" ht="22.35" customHeight="1">
      <c r="A4" s="17"/>
      <c r="B4" s="17"/>
      <c r="C4" s="17"/>
      <c r="D4" s="17"/>
      <c r="E4" s="17"/>
      <c r="F4" s="41" t="s">
        <v>235</v>
      </c>
      <c r="G4" s="42">
        <f>SUMPRODUCT(--($A$17:$A$116="SI"),--($C$17:$C$116&lt;&gt;""),--($D$17:$D$116&lt;&gt;""),--($E$17:$E$116&lt;&gt;""),--($F$17:$F$116&lt;&gt;""),--($K$17:$K$116="FUNCIONAL"),--($L$17:$L$116="FUNCIONAL"))</f>
        <v>0</v>
      </c>
      <c r="H4" s="18"/>
      <c r="I4" s="17"/>
      <c r="J4" s="20"/>
      <c r="K4" s="20"/>
      <c r="L4" s="20"/>
    </row>
    <row r="5" spans="1:12">
      <c r="A5" s="36" t="s">
        <v>236</v>
      </c>
      <c r="B5" s="43" t="s">
        <v>237</v>
      </c>
      <c r="C5" s="44"/>
      <c r="D5" s="36" t="s">
        <v>238</v>
      </c>
      <c r="E5" s="44"/>
      <c r="F5" s="36" t="s">
        <v>239</v>
      </c>
      <c r="G5" s="40" t="str">
        <f>IF(G3=0,"SIN SELECCIÓN",IF(G3=G4,"LISTAS PARA DYMO","REVISAR PCB/MAC"))</f>
        <v>SIN SELECCIÓN</v>
      </c>
      <c r="H5" s="37"/>
      <c r="I5" s="34"/>
      <c r="J5" s="22"/>
      <c r="K5" s="22"/>
      <c r="L5" s="22"/>
    </row>
    <row r="6" spans="1:12" ht="19.2">
      <c r="A6" s="45"/>
      <c r="B6" s="46" t="str">
        <f>IFERROR(INDEX($C$17:$C$116,MATCH($B$3,$B$17:$B$116,0)),"")</f>
        <v>TQT-R1-V30-0130</v>
      </c>
      <c r="C6" s="45"/>
      <c r="D6" s="47" t="str">
        <f>IF($B$3="","",B6&amp;IF(B7="","",CHAR(10)&amp;B7)&amp;CHAR(10)&amp;B8&amp;IF(B9="","",CHAR(10)&amp;B9)&amp;IF(B10="","",CHAR(10)&amp;B10))</f>
        <v>TQT-R1-V30-0130
TQT-R2-V30-0116</v>
      </c>
      <c r="E6" s="45"/>
      <c r="F6" s="45"/>
      <c r="G6" s="17"/>
      <c r="H6" s="18"/>
      <c r="I6" s="17"/>
      <c r="J6" s="20"/>
      <c r="K6" s="20"/>
      <c r="L6" s="20"/>
    </row>
    <row r="7" spans="1:12" ht="24" customHeight="1">
      <c r="A7" s="45"/>
      <c r="B7" s="46" t="str">
        <f>IFERROR(INDEX($D$17:$D$116,MATCH($B$3,$B$17:$B$116,0)),"")</f>
        <v/>
      </c>
      <c r="C7" s="45"/>
      <c r="D7" s="45"/>
      <c r="E7" s="45"/>
      <c r="F7" s="45"/>
      <c r="G7" s="17"/>
      <c r="H7" s="18"/>
      <c r="I7" s="17"/>
      <c r="J7" s="20"/>
      <c r="K7" s="20"/>
      <c r="L7" s="20"/>
    </row>
    <row r="8" spans="1:12" ht="24" customHeight="1">
      <c r="A8" s="45"/>
      <c r="B8" s="46" t="str">
        <f>IFERROR(INDEX($E$17:$E$116,MATCH($B$3,$B$17:$B$116,0)),"")</f>
        <v>TQT-R2-V30-0116</v>
      </c>
      <c r="C8" s="45"/>
      <c r="D8" s="45"/>
      <c r="E8" s="45"/>
      <c r="F8" s="45"/>
      <c r="G8" s="17"/>
      <c r="H8" s="18"/>
      <c r="I8" s="17"/>
      <c r="J8" s="20"/>
      <c r="K8" s="20"/>
      <c r="L8" s="20"/>
    </row>
    <row r="9" spans="1:12" ht="24" customHeight="1">
      <c r="A9" s="45"/>
      <c r="B9" s="46" t="str">
        <f>IFERROR(INDEX($F$17:$F$116,MATCH($B$3,$B$17:$B$116,0)),"")</f>
        <v/>
      </c>
      <c r="C9" s="45"/>
      <c r="D9" s="45"/>
      <c r="E9" s="45"/>
      <c r="F9" s="45"/>
      <c r="G9" s="17"/>
      <c r="H9" s="18"/>
      <c r="I9" s="17"/>
      <c r="J9" s="20"/>
      <c r="K9" s="20"/>
      <c r="L9" s="20"/>
    </row>
    <row r="10" spans="1:12" ht="24" customHeight="1">
      <c r="A10" s="17"/>
      <c r="B10" s="48" t="str">
        <f>IFERROR(IF(INDEX($G$17:$G$116,MATCH($B$3,$B$17:$B$116,0))="","","LOT: "&amp;INDEX($G$17:$G$116,MATCH($B$3,$B$17:$B$116,0))),"")</f>
        <v/>
      </c>
      <c r="C10" s="17"/>
      <c r="D10" s="17"/>
      <c r="E10" s="17"/>
      <c r="F10" s="17"/>
      <c r="G10" s="17"/>
      <c r="H10" s="18"/>
      <c r="I10" s="17"/>
      <c r="J10" s="20"/>
      <c r="K10" s="20"/>
      <c r="L10" s="20"/>
    </row>
    <row r="11" spans="1:12" ht="17.7" customHeight="1">
      <c r="A11" s="49"/>
      <c r="B11" s="49"/>
      <c r="C11" s="49"/>
      <c r="D11" s="49"/>
      <c r="E11" s="49"/>
      <c r="F11" s="49"/>
      <c r="G11" s="17"/>
      <c r="H11" s="18"/>
      <c r="I11" s="17"/>
      <c r="J11" s="20"/>
      <c r="K11" s="20"/>
      <c r="L11" s="20"/>
    </row>
    <row r="12" spans="1:12" ht="17.7" customHeight="1">
      <c r="A12" s="50"/>
      <c r="B12" s="50"/>
      <c r="C12" s="50"/>
      <c r="D12" s="50"/>
      <c r="E12" s="50"/>
      <c r="F12" s="50"/>
      <c r="G12" s="17"/>
      <c r="H12" s="18"/>
      <c r="I12" s="17"/>
      <c r="J12" s="20"/>
      <c r="K12" s="20"/>
      <c r="L12" s="20"/>
    </row>
    <row r="13" spans="1:12" ht="17.7" customHeight="1">
      <c r="A13" s="18"/>
      <c r="B13" s="17"/>
      <c r="C13" s="18"/>
      <c r="D13" s="17"/>
      <c r="E13" s="18"/>
      <c r="F13" s="17"/>
      <c r="G13" s="17"/>
      <c r="H13" s="18"/>
      <c r="I13" s="17"/>
      <c r="J13" s="20"/>
      <c r="K13" s="20"/>
      <c r="L13" s="20"/>
    </row>
    <row r="14" spans="1:12" ht="17.7" customHeight="1">
      <c r="A14" s="18"/>
      <c r="B14" s="17"/>
      <c r="C14" s="18"/>
      <c r="D14" s="17"/>
      <c r="E14" s="18"/>
      <c r="F14" s="17"/>
      <c r="G14" s="17"/>
      <c r="H14" s="18"/>
      <c r="I14" s="17"/>
      <c r="J14" s="20"/>
      <c r="K14" s="20"/>
      <c r="L14" s="20"/>
    </row>
    <row r="15" spans="1:12" ht="22.35" customHeight="1">
      <c r="A15" s="51" t="s">
        <v>240</v>
      </c>
      <c r="B15" s="33"/>
      <c r="C15" s="52"/>
      <c r="D15" s="33"/>
      <c r="E15" s="52"/>
      <c r="F15" s="33"/>
      <c r="G15" s="33"/>
      <c r="H15" s="52"/>
      <c r="I15" s="34"/>
      <c r="J15" s="22"/>
      <c r="K15" s="22"/>
      <c r="L15" s="22"/>
    </row>
    <row r="16" spans="1:12" ht="22.35" customHeight="1">
      <c r="A16" s="53" t="s">
        <v>241</v>
      </c>
      <c r="B16" s="1" t="s">
        <v>242</v>
      </c>
      <c r="C16" s="53" t="s">
        <v>243</v>
      </c>
      <c r="D16" s="1" t="s">
        <v>244</v>
      </c>
      <c r="E16" s="53" t="s">
        <v>245</v>
      </c>
      <c r="F16" s="1" t="s">
        <v>246</v>
      </c>
      <c r="G16" s="1" t="s">
        <v>247</v>
      </c>
      <c r="H16" s="53" t="s">
        <v>248</v>
      </c>
      <c r="I16" s="34"/>
      <c r="J16" s="22"/>
      <c r="K16" s="22"/>
      <c r="L16" s="22"/>
    </row>
    <row r="17" spans="1:12" ht="17.7" customHeight="1">
      <c r="A17" s="54"/>
      <c r="B17" s="54" t="str">
        <f>IF(Producción!A2="","",Producción!A2)</f>
        <v>0011</v>
      </c>
      <c r="C17" s="55" t="str">
        <f>IF(Producción!B2="","",Producción!B2)</f>
        <v>TQT-R1-V30-0011</v>
      </c>
      <c r="D17" s="54" t="str">
        <f>IF(Producción!C2="","",Producción!C2)</f>
        <v/>
      </c>
      <c r="E17" s="54" t="str">
        <f>IF(Producción!E2="","",Producción!E2)</f>
        <v>TQT-R2-V30-0011</v>
      </c>
      <c r="F17" s="54" t="str">
        <f>IF(Producción!F2="","",Producción!F2)</f>
        <v/>
      </c>
      <c r="G17" s="55" t="str">
        <f>IF(Producción!I2="","",Producción!I2)</f>
        <v/>
      </c>
      <c r="H17" s="56" t="str">
        <f t="shared" ref="H17:H48" si="0">IF(B17="","",C17&amp;IF(D17="","",CHAR(10)&amp;D17)&amp;CHAR(10)&amp;E17&amp;IF(F17="","",CHAR(10)&amp;F17)&amp;IF(G17="","",CHAR(10)&amp;"LOT: "&amp;G17))</f>
        <v>TQT-R1-V30-0011
TQT-R2-V30-0011</v>
      </c>
      <c r="I17" s="17"/>
      <c r="J17" s="20"/>
      <c r="K17" s="21">
        <f>IF(C17="","",IFERROR(INDEX('Catálogo PCB'!$C$3:$C$102,MATCH(C17,'Catálogo PCB'!$A$3:$A$102,0)),""))</f>
        <v>0</v>
      </c>
      <c r="L17" s="21">
        <f>IF(E17="","",IFERROR(INDEX('Catálogo PCB'!$H$3:$H$102,MATCH(E17,'Catálogo PCB'!$F$3:$F$102,0)),""))</f>
        <v>0</v>
      </c>
    </row>
    <row r="18" spans="1:12" ht="17.7" customHeight="1">
      <c r="A18" s="54"/>
      <c r="B18" s="54" t="str">
        <f>IF(Producción!A3="","",Producción!A3)</f>
        <v>0012</v>
      </c>
      <c r="C18" s="55" t="str">
        <f>IF(Producción!B3="","",Producción!B3)</f>
        <v>TQT-R1-V30-0012</v>
      </c>
      <c r="D18" s="54" t="str">
        <f>IF(Producción!C3="","",Producción!C3)</f>
        <v/>
      </c>
      <c r="E18" s="54" t="str">
        <f>IF(Producción!E3="","",Producción!E3)</f>
        <v>TQT-R2-V30-0012</v>
      </c>
      <c r="F18" s="54" t="str">
        <f>IF(Producción!F3="","",Producción!F3)</f>
        <v/>
      </c>
      <c r="G18" s="55" t="str">
        <f>IF(Producción!I3="","",Producción!I3)</f>
        <v/>
      </c>
      <c r="H18" s="56" t="str">
        <f t="shared" si="0"/>
        <v>TQT-R1-V30-0012
TQT-R2-V30-0012</v>
      </c>
      <c r="I18" s="17"/>
      <c r="J18" s="20"/>
      <c r="K18" s="21">
        <f>IF(C18="","",IFERROR(INDEX('Catálogo PCB'!$C$3:$C$102,MATCH(C18,'Catálogo PCB'!$A$3:$A$102,0)),""))</f>
        <v>0</v>
      </c>
      <c r="L18" s="21">
        <f>IF(E18="","",IFERROR(INDEX('Catálogo PCB'!$H$3:$H$102,MATCH(E18,'Catálogo PCB'!$F$3:$F$102,0)),""))</f>
        <v>0</v>
      </c>
    </row>
    <row r="19" spans="1:12" ht="17.7" customHeight="1">
      <c r="A19" s="54"/>
      <c r="B19" s="54" t="str">
        <f>IF(Producción!A4="","",Producción!A4)</f>
        <v>0013</v>
      </c>
      <c r="C19" s="55" t="str">
        <f>IF(Producción!B4="","",Producción!B4)</f>
        <v>TQT-R1-V30-0013</v>
      </c>
      <c r="D19" s="54" t="str">
        <f>IF(Producción!C4="","",Producción!C4)</f>
        <v/>
      </c>
      <c r="E19" s="54" t="str">
        <f>IF(Producción!E4="","",Producción!E4)</f>
        <v>TQT-R2-V30-0013</v>
      </c>
      <c r="F19" s="54" t="str">
        <f>IF(Producción!F4="","",Producción!F4)</f>
        <v/>
      </c>
      <c r="G19" s="55" t="str">
        <f>IF(Producción!I4="","",Producción!I4)</f>
        <v/>
      </c>
      <c r="H19" s="56" t="str">
        <f t="shared" si="0"/>
        <v>TQT-R1-V30-0013
TQT-R2-V30-0013</v>
      </c>
      <c r="I19" s="17"/>
      <c r="J19" s="20"/>
      <c r="K19" s="21">
        <f>IF(C19="","",IFERROR(INDEX('Catálogo PCB'!$C$3:$C$102,MATCH(C19,'Catálogo PCB'!$A$3:$A$102,0)),""))</f>
        <v>0</v>
      </c>
      <c r="L19" s="21">
        <f>IF(E19="","",IFERROR(INDEX('Catálogo PCB'!$H$3:$H$102,MATCH(E19,'Catálogo PCB'!$F$3:$F$102,0)),""))</f>
        <v>0</v>
      </c>
    </row>
    <row r="20" spans="1:12" ht="17.7" customHeight="1">
      <c r="A20" s="54"/>
      <c r="B20" s="54" t="str">
        <f>IF(Producción!A5="","",Producción!A5)</f>
        <v>0014</v>
      </c>
      <c r="C20" s="55" t="str">
        <f>IF(Producción!B5="","",Producción!B5)</f>
        <v>TQT-R1-V30-0014</v>
      </c>
      <c r="D20" s="54" t="str">
        <f>IF(Producción!C5="","",Producción!C5)</f>
        <v/>
      </c>
      <c r="E20" s="54" t="str">
        <f>IF(Producción!E5="","",Producción!E5)</f>
        <v>TQT-R2-V30-0014</v>
      </c>
      <c r="F20" s="54" t="str">
        <f>IF(Producción!F5="","",Producción!F5)</f>
        <v/>
      </c>
      <c r="G20" s="55" t="str">
        <f>IF(Producción!I5="","",Producción!I5)</f>
        <v/>
      </c>
      <c r="H20" s="56" t="str">
        <f t="shared" si="0"/>
        <v>TQT-R1-V30-0014
TQT-R2-V30-0014</v>
      </c>
      <c r="I20" s="17"/>
      <c r="J20" s="20"/>
      <c r="K20" s="21">
        <f>IF(C20="","",IFERROR(INDEX('Catálogo PCB'!$C$3:$C$102,MATCH(C20,'Catálogo PCB'!$A$3:$A$102,0)),""))</f>
        <v>0</v>
      </c>
      <c r="L20" s="21">
        <f>IF(E20="","",IFERROR(INDEX('Catálogo PCB'!$H$3:$H$102,MATCH(E20,'Catálogo PCB'!$F$3:$F$102,0)),""))</f>
        <v>0</v>
      </c>
    </row>
    <row r="21" spans="1:12" ht="17.7" customHeight="1">
      <c r="A21" s="54"/>
      <c r="B21" s="54" t="str">
        <f>IF(Producción!A6="","",Producción!A6)</f>
        <v>0015</v>
      </c>
      <c r="C21" s="55" t="str">
        <f>IF(Producción!B6="","",Producción!B6)</f>
        <v>TQT-R1-V30-0015</v>
      </c>
      <c r="D21" s="54" t="str">
        <f>IF(Producción!C6="","",Producción!C6)</f>
        <v/>
      </c>
      <c r="E21" s="54" t="str">
        <f>IF(Producción!E6="","",Producción!E6)</f>
        <v>TQT-R2-V30-0015</v>
      </c>
      <c r="F21" s="54" t="str">
        <f>IF(Producción!F6="","",Producción!F6)</f>
        <v/>
      </c>
      <c r="G21" s="55" t="str">
        <f>IF(Producción!I6="","",Producción!I6)</f>
        <v/>
      </c>
      <c r="H21" s="56" t="str">
        <f t="shared" si="0"/>
        <v>TQT-R1-V30-0015
TQT-R2-V30-0015</v>
      </c>
      <c r="I21" s="17"/>
      <c r="J21" s="20"/>
      <c r="K21" s="21">
        <f>IF(C21="","",IFERROR(INDEX('Catálogo PCB'!$C$3:$C$102,MATCH(C21,'Catálogo PCB'!$A$3:$A$102,0)),""))</f>
        <v>0</v>
      </c>
      <c r="L21" s="21">
        <f>IF(E21="","",IFERROR(INDEX('Catálogo PCB'!$H$3:$H$102,MATCH(E21,'Catálogo PCB'!$F$3:$F$102,0)),""))</f>
        <v>0</v>
      </c>
    </row>
    <row r="22" spans="1:12" ht="17.7" customHeight="1">
      <c r="A22" s="54"/>
      <c r="B22" s="54" t="str">
        <f>IF(Producción!A7="","",Producción!A7)</f>
        <v>0016</v>
      </c>
      <c r="C22" s="55" t="str">
        <f>IF(Producción!B7="","",Producción!B7)</f>
        <v>TQT-R1-V30-0016</v>
      </c>
      <c r="D22" s="54" t="str">
        <f>IF(Producción!C7="","",Producción!C7)</f>
        <v/>
      </c>
      <c r="E22" s="54" t="str">
        <f>IF(Producción!E7="","",Producción!E7)</f>
        <v>TQT-R2-V30-0016</v>
      </c>
      <c r="F22" s="54" t="str">
        <f>IF(Producción!F7="","",Producción!F7)</f>
        <v/>
      </c>
      <c r="G22" s="55" t="str">
        <f>IF(Producción!I7="","",Producción!I7)</f>
        <v/>
      </c>
      <c r="H22" s="56" t="str">
        <f t="shared" si="0"/>
        <v>TQT-R1-V30-0016
TQT-R2-V30-0016</v>
      </c>
      <c r="I22" s="17"/>
      <c r="J22" s="20"/>
      <c r="K22" s="21">
        <f>IF(C22="","",IFERROR(INDEX('Catálogo PCB'!$C$3:$C$102,MATCH(C22,'Catálogo PCB'!$A$3:$A$102,0)),""))</f>
        <v>0</v>
      </c>
      <c r="L22" s="21">
        <f>IF(E22="","",IFERROR(INDEX('Catálogo PCB'!$H$3:$H$102,MATCH(E22,'Catálogo PCB'!$F$3:$F$102,0)),""))</f>
        <v>0</v>
      </c>
    </row>
    <row r="23" spans="1:12" ht="17.7" customHeight="1">
      <c r="A23" s="54"/>
      <c r="B23" s="54" t="str">
        <f>IF(Producción!A8="","",Producción!A8)</f>
        <v>0017</v>
      </c>
      <c r="C23" s="55" t="str">
        <f>IF(Producción!B8="","",Producción!B8)</f>
        <v>TQT-R1-V30-0017</v>
      </c>
      <c r="D23" s="54" t="str">
        <f>IF(Producción!C8="","",Producción!C8)</f>
        <v/>
      </c>
      <c r="E23" s="54" t="str">
        <f>IF(Producción!E8="","",Producción!E8)</f>
        <v>TQT-R2-V30-0017</v>
      </c>
      <c r="F23" s="54" t="str">
        <f>IF(Producción!F8="","",Producción!F8)</f>
        <v/>
      </c>
      <c r="G23" s="55" t="str">
        <f>IF(Producción!I8="","",Producción!I8)</f>
        <v/>
      </c>
      <c r="H23" s="56" t="str">
        <f t="shared" si="0"/>
        <v>TQT-R1-V30-0017
TQT-R2-V30-0017</v>
      </c>
      <c r="I23" s="17"/>
      <c r="J23" s="20"/>
      <c r="K23" s="21">
        <f>IF(C23="","",IFERROR(INDEX('Catálogo PCB'!$C$3:$C$102,MATCH(C23,'Catálogo PCB'!$A$3:$A$102,0)),""))</f>
        <v>0</v>
      </c>
      <c r="L23" s="21">
        <f>IF(E23="","",IFERROR(INDEX('Catálogo PCB'!$H$3:$H$102,MATCH(E23,'Catálogo PCB'!$F$3:$F$102,0)),""))</f>
        <v>0</v>
      </c>
    </row>
    <row r="24" spans="1:12" ht="17.7" customHeight="1">
      <c r="A24" s="54"/>
      <c r="B24" s="54" t="str">
        <f>IF(Producción!A9="","",Producción!A9)</f>
        <v>0019</v>
      </c>
      <c r="C24" s="55" t="str">
        <f>IF(Producción!B9="","",Producción!B9)</f>
        <v>TQT-R1-V30-0019</v>
      </c>
      <c r="D24" s="54" t="str">
        <f>IF(Producción!C9="","",Producción!C9)</f>
        <v/>
      </c>
      <c r="E24" s="54" t="str">
        <f>IF(Producción!E9="","",Producción!E9)</f>
        <v>TQT-R2-V30-0019</v>
      </c>
      <c r="F24" s="54" t="str">
        <f>IF(Producción!F9="","",Producción!F9)</f>
        <v/>
      </c>
      <c r="G24" s="55" t="str">
        <f>IF(Producción!I9="","",Producción!I9)</f>
        <v/>
      </c>
      <c r="H24" s="56" t="str">
        <f t="shared" si="0"/>
        <v>TQT-R1-V30-0019
TQT-R2-V30-0019</v>
      </c>
      <c r="I24" s="17"/>
      <c r="J24" s="20"/>
      <c r="K24" s="21">
        <f>IF(C24="","",IFERROR(INDEX('Catálogo PCB'!$C$3:$C$102,MATCH(C24,'Catálogo PCB'!$A$3:$A$102,0)),""))</f>
        <v>0</v>
      </c>
      <c r="L24" s="21">
        <f>IF(E24="","",IFERROR(INDEX('Catálogo PCB'!$H$3:$H$102,MATCH(E24,'Catálogo PCB'!$F$3:$F$102,0)),""))</f>
        <v>0</v>
      </c>
    </row>
    <row r="25" spans="1:12" ht="17.7" customHeight="1">
      <c r="A25" s="54"/>
      <c r="B25" s="54" t="str">
        <f>IF(Producción!A10="","",Producción!A10)</f>
        <v>0020</v>
      </c>
      <c r="C25" s="55" t="str">
        <f>IF(Producción!B10="","",Producción!B10)</f>
        <v>TQT-R1-V30-0020</v>
      </c>
      <c r="D25" s="54" t="str">
        <f>IF(Producción!C10="","",Producción!C10)</f>
        <v/>
      </c>
      <c r="E25" s="54" t="str">
        <f>IF(Producción!E10="","",Producción!E10)</f>
        <v>TQT-R2-V30-0020</v>
      </c>
      <c r="F25" s="54" t="str">
        <f>IF(Producción!F10="","",Producción!F10)</f>
        <v/>
      </c>
      <c r="G25" s="55" t="str">
        <f>IF(Producción!I10="","",Producción!I10)</f>
        <v/>
      </c>
      <c r="H25" s="56" t="str">
        <f t="shared" si="0"/>
        <v>TQT-R1-V30-0020
TQT-R2-V30-0020</v>
      </c>
      <c r="I25" s="17"/>
      <c r="J25" s="20"/>
      <c r="K25" s="21">
        <f>IF(C25="","",IFERROR(INDEX('Catálogo PCB'!$C$3:$C$102,MATCH(C25,'Catálogo PCB'!$A$3:$A$102,0)),""))</f>
        <v>0</v>
      </c>
      <c r="L25" s="21">
        <f>IF(E25="","",IFERROR(INDEX('Catálogo PCB'!$H$3:$H$102,MATCH(E25,'Catálogo PCB'!$F$3:$F$102,0)),""))</f>
        <v>0</v>
      </c>
    </row>
    <row r="26" spans="1:12" ht="17.7" customHeight="1">
      <c r="A26" s="54"/>
      <c r="B26" s="54" t="str">
        <f>IF(Producción!A11="","",Producción!A11)</f>
        <v>0021</v>
      </c>
      <c r="C26" s="55" t="str">
        <f>IF(Producción!B11="","",Producción!B11)</f>
        <v>TQT-R1-V30-0021</v>
      </c>
      <c r="D26" s="54" t="str">
        <f>IF(Producción!C11="","",Producción!C11)</f>
        <v/>
      </c>
      <c r="E26" s="54" t="str">
        <f>IF(Producción!E11="","",Producción!E11)</f>
        <v>TQT-R2-V30-0021</v>
      </c>
      <c r="F26" s="54" t="str">
        <f>IF(Producción!F11="","",Producción!F11)</f>
        <v/>
      </c>
      <c r="G26" s="55" t="str">
        <f>IF(Producción!I11="","",Producción!I11)</f>
        <v/>
      </c>
      <c r="H26" s="56" t="str">
        <f t="shared" si="0"/>
        <v>TQT-R1-V30-0021
TQT-R2-V30-0021</v>
      </c>
      <c r="I26" s="17"/>
      <c r="J26" s="20"/>
      <c r="K26" s="21">
        <f>IF(C26="","",IFERROR(INDEX('Catálogo PCB'!$C$3:$C$102,MATCH(C26,'Catálogo PCB'!$A$3:$A$102,0)),""))</f>
        <v>0</v>
      </c>
      <c r="L26" s="21">
        <f>IF(E26="","",IFERROR(INDEX('Catálogo PCB'!$H$3:$H$102,MATCH(E26,'Catálogo PCB'!$F$3:$F$102,0)),""))</f>
        <v>0</v>
      </c>
    </row>
    <row r="27" spans="1:12" ht="17.7" customHeight="1">
      <c r="A27" s="54"/>
      <c r="B27" s="54" t="str">
        <f>IF(Producción!A12="","",Producción!A12)</f>
        <v>0022</v>
      </c>
      <c r="C27" s="55" t="str">
        <f>IF(Producción!B12="","",Producción!B12)</f>
        <v>TQT-R1-V30-0022</v>
      </c>
      <c r="D27" s="54" t="str">
        <f>IF(Producción!C12="","",Producción!C12)</f>
        <v/>
      </c>
      <c r="E27" s="54" t="str">
        <f>IF(Producción!E12="","",Producción!E12)</f>
        <v>TQT-R2-V30-0022</v>
      </c>
      <c r="F27" s="54" t="str">
        <f>IF(Producción!F12="","",Producción!F12)</f>
        <v/>
      </c>
      <c r="G27" s="55" t="str">
        <f>IF(Producción!I12="","",Producción!I12)</f>
        <v/>
      </c>
      <c r="H27" s="56" t="str">
        <f t="shared" si="0"/>
        <v>TQT-R1-V30-0022
TQT-R2-V30-0022</v>
      </c>
      <c r="I27" s="17"/>
      <c r="J27" s="20"/>
      <c r="K27" s="21">
        <f>IF(C27="","",IFERROR(INDEX('Catálogo PCB'!$C$3:$C$102,MATCH(C27,'Catálogo PCB'!$A$3:$A$102,0)),""))</f>
        <v>0</v>
      </c>
      <c r="L27" s="21">
        <f>IF(E27="","",IFERROR(INDEX('Catálogo PCB'!$H$3:$H$102,MATCH(E27,'Catálogo PCB'!$F$3:$F$102,0)),""))</f>
        <v>0</v>
      </c>
    </row>
    <row r="28" spans="1:12" ht="17.7" customHeight="1">
      <c r="A28" s="54"/>
      <c r="B28" s="54" t="str">
        <f>IF(Producción!A13="","",Producción!A13)</f>
        <v>0023</v>
      </c>
      <c r="C28" s="55" t="str">
        <f>IF(Producción!B13="","",Producción!B13)</f>
        <v>TQT-R1-V30-0023</v>
      </c>
      <c r="D28" s="54" t="str">
        <f>IF(Producción!C13="","",Producción!C13)</f>
        <v/>
      </c>
      <c r="E28" s="54" t="str">
        <f>IF(Producción!E13="","",Producción!E13)</f>
        <v>TQT-R2-V30-0023</v>
      </c>
      <c r="F28" s="54" t="str">
        <f>IF(Producción!F13="","",Producción!F13)</f>
        <v/>
      </c>
      <c r="G28" s="55" t="str">
        <f>IF(Producción!I13="","",Producción!I13)</f>
        <v/>
      </c>
      <c r="H28" s="56" t="str">
        <f t="shared" si="0"/>
        <v>TQT-R1-V30-0023
TQT-R2-V30-0023</v>
      </c>
      <c r="I28" s="17"/>
      <c r="J28" s="20"/>
      <c r="K28" s="21">
        <f>IF(C28="","",IFERROR(INDEX('Catálogo PCB'!$C$3:$C$102,MATCH(C28,'Catálogo PCB'!$A$3:$A$102,0)),""))</f>
        <v>0</v>
      </c>
      <c r="L28" s="21">
        <f>IF(E28="","",IFERROR(INDEX('Catálogo PCB'!$H$3:$H$102,MATCH(E28,'Catálogo PCB'!$F$3:$F$102,0)),""))</f>
        <v>0</v>
      </c>
    </row>
    <row r="29" spans="1:12" ht="17.7" customHeight="1">
      <c r="A29" s="54"/>
      <c r="B29" s="54" t="str">
        <f>IF(Producción!A14="","",Producción!A14)</f>
        <v>0024</v>
      </c>
      <c r="C29" s="55" t="str">
        <f>IF(Producción!B14="","",Producción!B14)</f>
        <v>TQT-R1-V30-0024</v>
      </c>
      <c r="D29" s="54" t="str">
        <f>IF(Producción!C14="","",Producción!C14)</f>
        <v/>
      </c>
      <c r="E29" s="54" t="str">
        <f>IF(Producción!E14="","",Producción!E14)</f>
        <v>TQT-R2-V30-0024</v>
      </c>
      <c r="F29" s="54" t="str">
        <f>IF(Producción!F14="","",Producción!F14)</f>
        <v/>
      </c>
      <c r="G29" s="55" t="str">
        <f>IF(Producción!I14="","",Producción!I14)</f>
        <v/>
      </c>
      <c r="H29" s="56" t="str">
        <f t="shared" si="0"/>
        <v>TQT-R1-V30-0024
TQT-R2-V30-0024</v>
      </c>
      <c r="I29" s="17"/>
      <c r="J29" s="20"/>
      <c r="K29" s="21">
        <f>IF(C29="","",IFERROR(INDEX('Catálogo PCB'!$C$3:$C$102,MATCH(C29,'Catálogo PCB'!$A$3:$A$102,0)),""))</f>
        <v>0</v>
      </c>
      <c r="L29" s="21">
        <f>IF(E29="","",IFERROR(INDEX('Catálogo PCB'!$H$3:$H$102,MATCH(E29,'Catálogo PCB'!$F$3:$F$102,0)),""))</f>
        <v>0</v>
      </c>
    </row>
    <row r="30" spans="1:12" ht="17.7" customHeight="1">
      <c r="A30" s="54"/>
      <c r="B30" s="54" t="str">
        <f>IF(Producción!A15="","",Producción!A15)</f>
        <v>0025</v>
      </c>
      <c r="C30" s="55" t="str">
        <f>IF(Producción!B15="","",Producción!B15)</f>
        <v>TQT-R1-V30-0025</v>
      </c>
      <c r="D30" s="54" t="str">
        <f>IF(Producción!C15="","",Producción!C15)</f>
        <v/>
      </c>
      <c r="E30" s="54" t="str">
        <f>IF(Producción!E15="","",Producción!E15)</f>
        <v>TQT-R2-V30-0025</v>
      </c>
      <c r="F30" s="54" t="str">
        <f>IF(Producción!F15="","",Producción!F15)</f>
        <v/>
      </c>
      <c r="G30" s="55" t="str">
        <f>IF(Producción!I15="","",Producción!I15)</f>
        <v/>
      </c>
      <c r="H30" s="56" t="str">
        <f t="shared" si="0"/>
        <v>TQT-R1-V30-0025
TQT-R2-V30-0025</v>
      </c>
      <c r="I30" s="17"/>
      <c r="J30" s="20"/>
      <c r="K30" s="21">
        <f>IF(C30="","",IFERROR(INDEX('Catálogo PCB'!$C$3:$C$102,MATCH(C30,'Catálogo PCB'!$A$3:$A$102,0)),""))</f>
        <v>0</v>
      </c>
      <c r="L30" s="21">
        <f>IF(E30="","",IFERROR(INDEX('Catálogo PCB'!$H$3:$H$102,MATCH(E30,'Catálogo PCB'!$F$3:$F$102,0)),""))</f>
        <v>0</v>
      </c>
    </row>
    <row r="31" spans="1:12" ht="17.7" customHeight="1">
      <c r="A31" s="54"/>
      <c r="B31" s="54" t="str">
        <f>IF(Producción!A16="","",Producción!A16)</f>
        <v>0026</v>
      </c>
      <c r="C31" s="55" t="str">
        <f>IF(Producción!B16="","",Producción!B16)</f>
        <v>TQT-R1-V30-0026</v>
      </c>
      <c r="D31" s="54" t="str">
        <f>IF(Producción!C16="","",Producción!C16)</f>
        <v/>
      </c>
      <c r="E31" s="54" t="str">
        <f>IF(Producción!E16="","",Producción!E16)</f>
        <v>TQT-R2-V30-0026</v>
      </c>
      <c r="F31" s="54" t="str">
        <f>IF(Producción!F16="","",Producción!F16)</f>
        <v/>
      </c>
      <c r="G31" s="55" t="str">
        <f>IF(Producción!I16="","",Producción!I16)</f>
        <v/>
      </c>
      <c r="H31" s="56" t="str">
        <f t="shared" si="0"/>
        <v>TQT-R1-V30-0026
TQT-R2-V30-0026</v>
      </c>
      <c r="I31" s="17"/>
      <c r="J31" s="20"/>
      <c r="K31" s="21">
        <f>IF(C31="","",IFERROR(INDEX('Catálogo PCB'!$C$3:$C$102,MATCH(C31,'Catálogo PCB'!$A$3:$A$102,0)),""))</f>
        <v>0</v>
      </c>
      <c r="L31" s="21">
        <f>IF(E31="","",IFERROR(INDEX('Catálogo PCB'!$H$3:$H$102,MATCH(E31,'Catálogo PCB'!$F$3:$F$102,0)),""))</f>
        <v>0</v>
      </c>
    </row>
    <row r="32" spans="1:12" ht="17.7" customHeight="1">
      <c r="A32" s="54"/>
      <c r="B32" s="54" t="str">
        <f>IF(Producción!A17="","",Producción!A17)</f>
        <v>0027</v>
      </c>
      <c r="C32" s="55" t="str">
        <f>IF(Producción!B17="","",Producción!B17)</f>
        <v>TQT-R1-V30-0027</v>
      </c>
      <c r="D32" s="54" t="str">
        <f>IF(Producción!C17="","",Producción!C17)</f>
        <v/>
      </c>
      <c r="E32" s="54" t="str">
        <f>IF(Producción!E17="","",Producción!E17)</f>
        <v>TQT-R2-V30-0027</v>
      </c>
      <c r="F32" s="54" t="str">
        <f>IF(Producción!F17="","",Producción!F17)</f>
        <v/>
      </c>
      <c r="G32" s="55" t="str">
        <f>IF(Producción!I17="","",Producción!I17)</f>
        <v/>
      </c>
      <c r="H32" s="56" t="str">
        <f t="shared" si="0"/>
        <v>TQT-R1-V30-0027
TQT-R2-V30-0027</v>
      </c>
      <c r="I32" s="17"/>
      <c r="J32" s="20"/>
      <c r="K32" s="21">
        <f>IF(C32="","",IFERROR(INDEX('Catálogo PCB'!$C$3:$C$102,MATCH(C32,'Catálogo PCB'!$A$3:$A$102,0)),""))</f>
        <v>0</v>
      </c>
      <c r="L32" s="21">
        <f>IF(E32="","",IFERROR(INDEX('Catálogo PCB'!$H$3:$H$102,MATCH(E32,'Catálogo PCB'!$F$3:$F$102,0)),""))</f>
        <v>0</v>
      </c>
    </row>
    <row r="33" spans="1:12" ht="17.7" customHeight="1">
      <c r="A33" s="54"/>
      <c r="B33" s="54" t="str">
        <f>IF(Producción!A18="","",Producción!A18)</f>
        <v>0028</v>
      </c>
      <c r="C33" s="55" t="str">
        <f>IF(Producción!B18="","",Producción!B18)</f>
        <v>TQT-R1-V30-0028</v>
      </c>
      <c r="D33" s="54" t="str">
        <f>IF(Producción!C18="","",Producción!C18)</f>
        <v/>
      </c>
      <c r="E33" s="54" t="str">
        <f>IF(Producción!E18="","",Producción!E18)</f>
        <v>TQT-R2-V30-0028</v>
      </c>
      <c r="F33" s="54" t="str">
        <f>IF(Producción!F18="","",Producción!F18)</f>
        <v/>
      </c>
      <c r="G33" s="55" t="str">
        <f>IF(Producción!I18="","",Producción!I18)</f>
        <v/>
      </c>
      <c r="H33" s="56" t="str">
        <f t="shared" si="0"/>
        <v>TQT-R1-V30-0028
TQT-R2-V30-0028</v>
      </c>
      <c r="I33" s="17"/>
      <c r="J33" s="20"/>
      <c r="K33" s="21">
        <f>IF(C33="","",IFERROR(INDEX('Catálogo PCB'!$C$3:$C$102,MATCH(C33,'Catálogo PCB'!$A$3:$A$102,0)),""))</f>
        <v>0</v>
      </c>
      <c r="L33" s="21">
        <f>IF(E33="","",IFERROR(INDEX('Catálogo PCB'!$H$3:$H$102,MATCH(E33,'Catálogo PCB'!$F$3:$F$102,0)),""))</f>
        <v>0</v>
      </c>
    </row>
    <row r="34" spans="1:12" ht="17.7" customHeight="1">
      <c r="A34" s="54"/>
      <c r="B34" s="54" t="str">
        <f>IF(Producción!A19="","",Producción!A19)</f>
        <v>0029</v>
      </c>
      <c r="C34" s="55" t="str">
        <f>IF(Producción!B19="","",Producción!B19)</f>
        <v>TQT-R1-V30-0029</v>
      </c>
      <c r="D34" s="54" t="str">
        <f>IF(Producción!C19="","",Producción!C19)</f>
        <v/>
      </c>
      <c r="E34" s="54" t="str">
        <f>IF(Producción!E19="","",Producción!E19)</f>
        <v>TQT-R2-V30-0029</v>
      </c>
      <c r="F34" s="54" t="str">
        <f>IF(Producción!F19="","",Producción!F19)</f>
        <v/>
      </c>
      <c r="G34" s="55" t="str">
        <f>IF(Producción!I19="","",Producción!I19)</f>
        <v/>
      </c>
      <c r="H34" s="56" t="str">
        <f t="shared" si="0"/>
        <v>TQT-R1-V30-0029
TQT-R2-V30-0029</v>
      </c>
      <c r="I34" s="17"/>
      <c r="J34" s="20"/>
      <c r="K34" s="21">
        <f>IF(C34="","",IFERROR(INDEX('Catálogo PCB'!$C$3:$C$102,MATCH(C34,'Catálogo PCB'!$A$3:$A$102,0)),""))</f>
        <v>0</v>
      </c>
      <c r="L34" s="21">
        <f>IF(E34="","",IFERROR(INDEX('Catálogo PCB'!$H$3:$H$102,MATCH(E34,'Catálogo PCB'!$F$3:$F$102,0)),""))</f>
        <v>0</v>
      </c>
    </row>
    <row r="35" spans="1:12" ht="17.7" customHeight="1">
      <c r="A35" s="54"/>
      <c r="B35" s="54" t="str">
        <f>IF(Producción!A20="","",Producción!A20)</f>
        <v>0030</v>
      </c>
      <c r="C35" s="55" t="str">
        <f>IF(Producción!B20="","",Producción!B20)</f>
        <v>TQT-R1-V30-0030</v>
      </c>
      <c r="D35" s="54" t="str">
        <f>IF(Producción!C20="","",Producción!C20)</f>
        <v/>
      </c>
      <c r="E35" s="54" t="str">
        <f>IF(Producción!E20="","",Producción!E20)</f>
        <v>TQT-R2-V30-0030</v>
      </c>
      <c r="F35" s="54" t="str">
        <f>IF(Producción!F20="","",Producción!F20)</f>
        <v/>
      </c>
      <c r="G35" s="55" t="str">
        <f>IF(Producción!I20="","",Producción!I20)</f>
        <v/>
      </c>
      <c r="H35" s="56" t="str">
        <f t="shared" si="0"/>
        <v>TQT-R1-V30-0030
TQT-R2-V30-0030</v>
      </c>
      <c r="I35" s="17"/>
      <c r="J35" s="20"/>
      <c r="K35" s="21">
        <f>IF(C35="","",IFERROR(INDEX('Catálogo PCB'!$C$3:$C$102,MATCH(C35,'Catálogo PCB'!$A$3:$A$102,0)),""))</f>
        <v>0</v>
      </c>
      <c r="L35" s="21">
        <f>IF(E35="","",IFERROR(INDEX('Catálogo PCB'!$H$3:$H$102,MATCH(E35,'Catálogo PCB'!$F$3:$F$102,0)),""))</f>
        <v>0</v>
      </c>
    </row>
    <row r="36" spans="1:12" ht="17.7" customHeight="1">
      <c r="A36" s="54"/>
      <c r="B36" s="54" t="str">
        <f>IF(Producción!A21="","",Producción!A21)</f>
        <v>0031</v>
      </c>
      <c r="C36" s="55" t="str">
        <f>IF(Producción!B21="","",Producción!B21)</f>
        <v>TQT-R1-V30-0031</v>
      </c>
      <c r="D36" s="54" t="str">
        <f>IF(Producción!C21="","",Producción!C21)</f>
        <v/>
      </c>
      <c r="E36" s="54" t="str">
        <f>IF(Producción!E21="","",Producción!E21)</f>
        <v>TQT-R2-V30-0031</v>
      </c>
      <c r="F36" s="54" t="str">
        <f>IF(Producción!F21="","",Producción!F21)</f>
        <v/>
      </c>
      <c r="G36" s="55" t="str">
        <f>IF(Producción!I21="","",Producción!I21)</f>
        <v/>
      </c>
      <c r="H36" s="56" t="str">
        <f t="shared" si="0"/>
        <v>TQT-R1-V30-0031
TQT-R2-V30-0031</v>
      </c>
      <c r="I36" s="17"/>
      <c r="J36" s="20"/>
      <c r="K36" s="21">
        <f>IF(C36="","",IFERROR(INDEX('Catálogo PCB'!$C$3:$C$102,MATCH(C36,'Catálogo PCB'!$A$3:$A$102,0)),""))</f>
        <v>0</v>
      </c>
      <c r="L36" s="21">
        <f>IF(E36="","",IFERROR(INDEX('Catálogo PCB'!$H$3:$H$102,MATCH(E36,'Catálogo PCB'!$F$3:$F$102,0)),""))</f>
        <v>0</v>
      </c>
    </row>
    <row r="37" spans="1:12" ht="17.7" customHeight="1">
      <c r="A37" s="54"/>
      <c r="B37" s="54" t="str">
        <f>IF(Producción!A22="","",Producción!A22)</f>
        <v>0032</v>
      </c>
      <c r="C37" s="55" t="str">
        <f>IF(Producción!B22="","",Producción!B22)</f>
        <v>TQT-R1-V30-0032</v>
      </c>
      <c r="D37" s="54" t="str">
        <f>IF(Producción!C22="","",Producción!C22)</f>
        <v/>
      </c>
      <c r="E37" s="54" t="str">
        <f>IF(Producción!E22="","",Producción!E22)</f>
        <v>TQT-R2-V30-0032</v>
      </c>
      <c r="F37" s="54" t="str">
        <f>IF(Producción!F22="","",Producción!F22)</f>
        <v/>
      </c>
      <c r="G37" s="55" t="str">
        <f>IF(Producción!I22="","",Producción!I22)</f>
        <v/>
      </c>
      <c r="H37" s="56" t="str">
        <f t="shared" si="0"/>
        <v>TQT-R1-V30-0032
TQT-R2-V30-0032</v>
      </c>
      <c r="I37" s="17"/>
      <c r="J37" s="20"/>
      <c r="K37" s="21">
        <f>IF(C37="","",IFERROR(INDEX('Catálogo PCB'!$C$3:$C$102,MATCH(C37,'Catálogo PCB'!$A$3:$A$102,0)),""))</f>
        <v>0</v>
      </c>
      <c r="L37" s="21">
        <f>IF(E37="","",IFERROR(INDEX('Catálogo PCB'!$H$3:$H$102,MATCH(E37,'Catálogo PCB'!$F$3:$F$102,0)),""))</f>
        <v>0</v>
      </c>
    </row>
    <row r="38" spans="1:12" ht="17.7" customHeight="1">
      <c r="A38" s="54"/>
      <c r="B38" s="54" t="str">
        <f>IF(Producción!A23="","",Producción!A23)</f>
        <v>0033</v>
      </c>
      <c r="C38" s="55" t="str">
        <f>IF(Producción!B23="","",Producción!B23)</f>
        <v>TQT-R1-V30-0033</v>
      </c>
      <c r="D38" s="54" t="str">
        <f>IF(Producción!C23="","",Producción!C23)</f>
        <v/>
      </c>
      <c r="E38" s="54" t="str">
        <f>IF(Producción!E23="","",Producción!E23)</f>
        <v>TQT-R2-V30-0033</v>
      </c>
      <c r="F38" s="54" t="str">
        <f>IF(Producción!F23="","",Producción!F23)</f>
        <v/>
      </c>
      <c r="G38" s="55" t="str">
        <f>IF(Producción!I23="","",Producción!I23)</f>
        <v/>
      </c>
      <c r="H38" s="56" t="str">
        <f t="shared" si="0"/>
        <v>TQT-R1-V30-0033
TQT-R2-V30-0033</v>
      </c>
      <c r="I38" s="17"/>
      <c r="J38" s="20"/>
      <c r="K38" s="21">
        <f>IF(C38="","",IFERROR(INDEX('Catálogo PCB'!$C$3:$C$102,MATCH(C38,'Catálogo PCB'!$A$3:$A$102,0)),""))</f>
        <v>0</v>
      </c>
      <c r="L38" s="21">
        <f>IF(E38="","",IFERROR(INDEX('Catálogo PCB'!$H$3:$H$102,MATCH(E38,'Catálogo PCB'!$F$3:$F$102,0)),""))</f>
        <v>0</v>
      </c>
    </row>
    <row r="39" spans="1:12" ht="17.7" customHeight="1">
      <c r="A39" s="54"/>
      <c r="B39" s="54" t="str">
        <f>IF(Producción!A24="","",Producción!A24)</f>
        <v>0034</v>
      </c>
      <c r="C39" s="55" t="str">
        <f>IF(Producción!B24="","",Producción!B24)</f>
        <v>TQT-R1-V30-0034</v>
      </c>
      <c r="D39" s="54" t="str">
        <f>IF(Producción!C24="","",Producción!C24)</f>
        <v/>
      </c>
      <c r="E39" s="54" t="str">
        <f>IF(Producción!E24="","",Producción!E24)</f>
        <v>TQT-R2-V30-0034</v>
      </c>
      <c r="F39" s="54" t="str">
        <f>IF(Producción!F24="","",Producción!F24)</f>
        <v/>
      </c>
      <c r="G39" s="55" t="str">
        <f>IF(Producción!I24="","",Producción!I24)</f>
        <v/>
      </c>
      <c r="H39" s="56" t="str">
        <f t="shared" si="0"/>
        <v>TQT-R1-V30-0034
TQT-R2-V30-0034</v>
      </c>
      <c r="I39" s="17"/>
      <c r="J39" s="20"/>
      <c r="K39" s="21">
        <f>IF(C39="","",IFERROR(INDEX('Catálogo PCB'!$C$3:$C$102,MATCH(C39,'Catálogo PCB'!$A$3:$A$102,0)),""))</f>
        <v>0</v>
      </c>
      <c r="L39" s="21">
        <f>IF(E39="","",IFERROR(INDEX('Catálogo PCB'!$H$3:$H$102,MATCH(E39,'Catálogo PCB'!$F$3:$F$102,0)),""))</f>
        <v>0</v>
      </c>
    </row>
    <row r="40" spans="1:12" ht="17.7" customHeight="1">
      <c r="A40" s="54"/>
      <c r="B40" s="54" t="str">
        <f>IF(Producción!A25="","",Producción!A25)</f>
        <v>0035</v>
      </c>
      <c r="C40" s="55" t="str">
        <f>IF(Producción!B25="","",Producción!B25)</f>
        <v>TQT-R1-V30-0035</v>
      </c>
      <c r="D40" s="54" t="str">
        <f>IF(Producción!C25="","",Producción!C25)</f>
        <v/>
      </c>
      <c r="E40" s="54" t="str">
        <f>IF(Producción!E25="","",Producción!E25)</f>
        <v>TQT-R2-V30-0035</v>
      </c>
      <c r="F40" s="54" t="str">
        <f>IF(Producción!F25="","",Producción!F25)</f>
        <v/>
      </c>
      <c r="G40" s="55" t="str">
        <f>IF(Producción!I25="","",Producción!I25)</f>
        <v/>
      </c>
      <c r="H40" s="56" t="str">
        <f t="shared" si="0"/>
        <v>TQT-R1-V30-0035
TQT-R2-V30-0035</v>
      </c>
      <c r="I40" s="17"/>
      <c r="J40" s="20"/>
      <c r="K40" s="21">
        <f>IF(C40="","",IFERROR(INDEX('Catálogo PCB'!$C$3:$C$102,MATCH(C40,'Catálogo PCB'!$A$3:$A$102,0)),""))</f>
        <v>0</v>
      </c>
      <c r="L40" s="21">
        <f>IF(E40="","",IFERROR(INDEX('Catálogo PCB'!$H$3:$H$102,MATCH(E40,'Catálogo PCB'!$F$3:$F$102,0)),""))</f>
        <v>0</v>
      </c>
    </row>
    <row r="41" spans="1:12" ht="17.7" customHeight="1">
      <c r="A41" s="54"/>
      <c r="B41" s="54" t="str">
        <f>IF(Producción!A26="","",Producción!A26)</f>
        <v>0037</v>
      </c>
      <c r="C41" s="55" t="str">
        <f>IF(Producción!B26="","",Producción!B26)</f>
        <v>TQT-R1-V30-0037</v>
      </c>
      <c r="D41" s="54" t="str">
        <f>IF(Producción!C26="","",Producción!C26)</f>
        <v/>
      </c>
      <c r="E41" s="54" t="str">
        <f>IF(Producción!E26="","",Producción!E26)</f>
        <v>TQT-R2-V30-0037</v>
      </c>
      <c r="F41" s="54" t="str">
        <f>IF(Producción!F26="","",Producción!F26)</f>
        <v/>
      </c>
      <c r="G41" s="55" t="str">
        <f>IF(Producción!I26="","",Producción!I26)</f>
        <v/>
      </c>
      <c r="H41" s="56" t="str">
        <f t="shared" si="0"/>
        <v>TQT-R1-V30-0037
TQT-R2-V30-0037</v>
      </c>
      <c r="I41" s="17"/>
      <c r="J41" s="20"/>
      <c r="K41" s="21">
        <f>IF(C41="","",IFERROR(INDEX('Catálogo PCB'!$C$3:$C$102,MATCH(C41,'Catálogo PCB'!$A$3:$A$102,0)),""))</f>
        <v>0</v>
      </c>
      <c r="L41" s="21">
        <f>IF(E41="","",IFERROR(INDEX('Catálogo PCB'!$H$3:$H$102,MATCH(E41,'Catálogo PCB'!$F$3:$F$102,0)),""))</f>
        <v>0</v>
      </c>
    </row>
    <row r="42" spans="1:12" ht="17.7" customHeight="1">
      <c r="A42" s="54"/>
      <c r="B42" s="54" t="str">
        <f>IF(Producción!A27="","",Producción!A27)</f>
        <v>0039</v>
      </c>
      <c r="C42" s="55" t="str">
        <f>IF(Producción!B27="","",Producción!B27)</f>
        <v>TQT-R1-V30-0039</v>
      </c>
      <c r="D42" s="54" t="str">
        <f>IF(Producción!C27="","",Producción!C27)</f>
        <v/>
      </c>
      <c r="E42" s="54" t="str">
        <f>IF(Producción!E27="","",Producción!E27)</f>
        <v>TQT-R2-V30-0039</v>
      </c>
      <c r="F42" s="54" t="str">
        <f>IF(Producción!F27="","",Producción!F27)</f>
        <v/>
      </c>
      <c r="G42" s="55" t="str">
        <f>IF(Producción!I27="","",Producción!I27)</f>
        <v/>
      </c>
      <c r="H42" s="56" t="str">
        <f t="shared" si="0"/>
        <v>TQT-R1-V30-0039
TQT-R2-V30-0039</v>
      </c>
      <c r="I42" s="17"/>
      <c r="J42" s="20"/>
      <c r="K42" s="21">
        <f>IF(C42="","",IFERROR(INDEX('Catálogo PCB'!$C$3:$C$102,MATCH(C42,'Catálogo PCB'!$A$3:$A$102,0)),""))</f>
        <v>0</v>
      </c>
      <c r="L42" s="21">
        <f>IF(E42="","",IFERROR(INDEX('Catálogo PCB'!$H$3:$H$102,MATCH(E42,'Catálogo PCB'!$F$3:$F$102,0)),""))</f>
        <v>0</v>
      </c>
    </row>
    <row r="43" spans="1:12" ht="17.7" customHeight="1">
      <c r="A43" s="54"/>
      <c r="B43" s="54" t="str">
        <f>IF(Producción!A28="","",Producción!A28)</f>
        <v>0040</v>
      </c>
      <c r="C43" s="55" t="str">
        <f>IF(Producción!B28="","",Producción!B28)</f>
        <v>TQT-R1-V30-0040</v>
      </c>
      <c r="D43" s="54" t="str">
        <f>IF(Producción!C28="","",Producción!C28)</f>
        <v/>
      </c>
      <c r="E43" s="54" t="str">
        <f>IF(Producción!E28="","",Producción!E28)</f>
        <v>TQT-R2-V30-0040</v>
      </c>
      <c r="F43" s="54" t="str">
        <f>IF(Producción!F28="","",Producción!F28)</f>
        <v/>
      </c>
      <c r="G43" s="55" t="str">
        <f>IF(Producción!I28="","",Producción!I28)</f>
        <v/>
      </c>
      <c r="H43" s="56" t="str">
        <f t="shared" si="0"/>
        <v>TQT-R1-V30-0040
TQT-R2-V30-0040</v>
      </c>
      <c r="I43" s="17"/>
      <c r="J43" s="20"/>
      <c r="K43" s="21">
        <f>IF(C43="","",IFERROR(INDEX('Catálogo PCB'!$C$3:$C$102,MATCH(C43,'Catálogo PCB'!$A$3:$A$102,0)),""))</f>
        <v>0</v>
      </c>
      <c r="L43" s="21">
        <f>IF(E43="","",IFERROR(INDEX('Catálogo PCB'!$H$3:$H$102,MATCH(E43,'Catálogo PCB'!$F$3:$F$102,0)),""))</f>
        <v>0</v>
      </c>
    </row>
    <row r="44" spans="1:12" ht="17.7" customHeight="1">
      <c r="A44" s="54"/>
      <c r="B44" s="54" t="str">
        <f>IF(Producción!A29="","",Producción!A29)</f>
        <v>0041</v>
      </c>
      <c r="C44" s="55" t="str">
        <f>IF(Producción!B29="","",Producción!B29)</f>
        <v>TQT-R1-V30-0041</v>
      </c>
      <c r="D44" s="54" t="str">
        <f>IF(Producción!C29="","",Producción!C29)</f>
        <v/>
      </c>
      <c r="E44" s="54" t="str">
        <f>IF(Producción!E29="","",Producción!E29)</f>
        <v>TQT-R2-V30-0041</v>
      </c>
      <c r="F44" s="54" t="str">
        <f>IF(Producción!F29="","",Producción!F29)</f>
        <v/>
      </c>
      <c r="G44" s="55" t="str">
        <f>IF(Producción!I29="","",Producción!I29)</f>
        <v/>
      </c>
      <c r="H44" s="56" t="str">
        <f t="shared" si="0"/>
        <v>TQT-R1-V30-0041
TQT-R2-V30-0041</v>
      </c>
      <c r="I44" s="17"/>
      <c r="J44" s="20"/>
      <c r="K44" s="21">
        <f>IF(C44="","",IFERROR(INDEX('Catálogo PCB'!$C$3:$C$102,MATCH(C44,'Catálogo PCB'!$A$3:$A$102,0)),""))</f>
        <v>0</v>
      </c>
      <c r="L44" s="21">
        <f>IF(E44="","",IFERROR(INDEX('Catálogo PCB'!$H$3:$H$102,MATCH(E44,'Catálogo PCB'!$F$3:$F$102,0)),""))</f>
        <v>0</v>
      </c>
    </row>
    <row r="45" spans="1:12" ht="17.7" customHeight="1">
      <c r="A45" s="54"/>
      <c r="B45" s="54" t="str">
        <f>IF(Producción!A30="","",Producción!A30)</f>
        <v>0042</v>
      </c>
      <c r="C45" s="55" t="str">
        <f>IF(Producción!B30="","",Producción!B30)</f>
        <v>TQT-R1-V30-0042</v>
      </c>
      <c r="D45" s="54" t="str">
        <f>IF(Producción!C30="","",Producción!C30)</f>
        <v/>
      </c>
      <c r="E45" s="54" t="str">
        <f>IF(Producción!E30="","",Producción!E30)</f>
        <v>TQT-R2-V30-0042</v>
      </c>
      <c r="F45" s="54" t="str">
        <f>IF(Producción!F30="","",Producción!F30)</f>
        <v/>
      </c>
      <c r="G45" s="55" t="str">
        <f>IF(Producción!I30="","",Producción!I30)</f>
        <v/>
      </c>
      <c r="H45" s="56" t="str">
        <f t="shared" si="0"/>
        <v>TQT-R1-V30-0042
TQT-R2-V30-0042</v>
      </c>
      <c r="I45" s="17"/>
      <c r="J45" s="20"/>
      <c r="K45" s="21">
        <f>IF(C45="","",IFERROR(INDEX('Catálogo PCB'!$C$3:$C$102,MATCH(C45,'Catálogo PCB'!$A$3:$A$102,0)),""))</f>
        <v>0</v>
      </c>
      <c r="L45" s="21">
        <f>IF(E45="","",IFERROR(INDEX('Catálogo PCB'!$H$3:$H$102,MATCH(E45,'Catálogo PCB'!$F$3:$F$102,0)),""))</f>
        <v>0</v>
      </c>
    </row>
    <row r="46" spans="1:12" ht="17.7" customHeight="1">
      <c r="A46" s="54"/>
      <c r="B46" s="54" t="str">
        <f>IF(Producción!A31="","",Producción!A31)</f>
        <v>0043</v>
      </c>
      <c r="C46" s="55" t="str">
        <f>IF(Producción!B31="","",Producción!B31)</f>
        <v>TQT-R1-V30-0043</v>
      </c>
      <c r="D46" s="54" t="str">
        <f>IF(Producción!C31="","",Producción!C31)</f>
        <v/>
      </c>
      <c r="E46" s="54" t="str">
        <f>IF(Producción!E31="","",Producción!E31)</f>
        <v>TQT-R2-V30-0043</v>
      </c>
      <c r="F46" s="54" t="str">
        <f>IF(Producción!F31="","",Producción!F31)</f>
        <v/>
      </c>
      <c r="G46" s="55" t="str">
        <f>IF(Producción!I31="","",Producción!I31)</f>
        <v/>
      </c>
      <c r="H46" s="56" t="str">
        <f t="shared" si="0"/>
        <v>TQT-R1-V30-0043
TQT-R2-V30-0043</v>
      </c>
      <c r="I46" s="17"/>
      <c r="J46" s="20"/>
      <c r="K46" s="21">
        <f>IF(C46="","",IFERROR(INDEX('Catálogo PCB'!$C$3:$C$102,MATCH(C46,'Catálogo PCB'!$A$3:$A$102,0)),""))</f>
        <v>0</v>
      </c>
      <c r="L46" s="21">
        <f>IF(E46="","",IFERROR(INDEX('Catálogo PCB'!$H$3:$H$102,MATCH(E46,'Catálogo PCB'!$F$3:$F$102,0)),""))</f>
        <v>0</v>
      </c>
    </row>
    <row r="47" spans="1:12" ht="17.7" customHeight="1">
      <c r="A47" s="54"/>
      <c r="B47" s="54" t="str">
        <f>IF(Producción!A32="","",Producción!A32)</f>
        <v>0044</v>
      </c>
      <c r="C47" s="55" t="str">
        <f>IF(Producción!B32="","",Producción!B32)</f>
        <v>TQT-R1-V30-0044</v>
      </c>
      <c r="D47" s="54" t="str">
        <f>IF(Producción!C32="","",Producción!C32)</f>
        <v/>
      </c>
      <c r="E47" s="54" t="str">
        <f>IF(Producción!E32="","",Producción!E32)</f>
        <v>TQT-R2-V30-0044</v>
      </c>
      <c r="F47" s="54" t="str">
        <f>IF(Producción!F32="","",Producción!F32)</f>
        <v/>
      </c>
      <c r="G47" s="55" t="str">
        <f>IF(Producción!I32="","",Producción!I32)</f>
        <v/>
      </c>
      <c r="H47" s="56" t="str">
        <f t="shared" si="0"/>
        <v>TQT-R1-V30-0044
TQT-R2-V30-0044</v>
      </c>
      <c r="I47" s="17"/>
      <c r="J47" s="20"/>
      <c r="K47" s="21">
        <f>IF(C47="","",IFERROR(INDEX('Catálogo PCB'!$C$3:$C$102,MATCH(C47,'Catálogo PCB'!$A$3:$A$102,0)),""))</f>
        <v>0</v>
      </c>
      <c r="L47" s="21">
        <f>IF(E47="","",IFERROR(INDEX('Catálogo PCB'!$H$3:$H$102,MATCH(E47,'Catálogo PCB'!$F$3:$F$102,0)),""))</f>
        <v>0</v>
      </c>
    </row>
    <row r="48" spans="1:12" ht="17.7" customHeight="1">
      <c r="A48" s="54"/>
      <c r="B48" s="54" t="str">
        <f>IF(Producción!A33="","",Producción!A33)</f>
        <v>0045</v>
      </c>
      <c r="C48" s="55" t="str">
        <f>IF(Producción!B33="","",Producción!B33)</f>
        <v>TQT-R1-V30-0045</v>
      </c>
      <c r="D48" s="54" t="str">
        <f>IF(Producción!C33="","",Producción!C33)</f>
        <v/>
      </c>
      <c r="E48" s="54" t="str">
        <f>IF(Producción!E33="","",Producción!E33)</f>
        <v>TQT-R2-V30-0045</v>
      </c>
      <c r="F48" s="54" t="str">
        <f>IF(Producción!F33="","",Producción!F33)</f>
        <v/>
      </c>
      <c r="G48" s="55" t="str">
        <f>IF(Producción!I33="","",Producción!I33)</f>
        <v/>
      </c>
      <c r="H48" s="56" t="str">
        <f t="shared" si="0"/>
        <v>TQT-R1-V30-0045
TQT-R2-V30-0045</v>
      </c>
      <c r="I48" s="17"/>
      <c r="J48" s="20"/>
      <c r="K48" s="21">
        <f>IF(C48="","",IFERROR(INDEX('Catálogo PCB'!$C$3:$C$102,MATCH(C48,'Catálogo PCB'!$A$3:$A$102,0)),""))</f>
        <v>0</v>
      </c>
      <c r="L48" s="21">
        <f>IF(E48="","",IFERROR(INDEX('Catálogo PCB'!$H$3:$H$102,MATCH(E48,'Catálogo PCB'!$F$3:$F$102,0)),""))</f>
        <v>0</v>
      </c>
    </row>
    <row r="49" spans="1:12" ht="17.7" customHeight="1">
      <c r="A49" s="54"/>
      <c r="B49" s="54" t="str">
        <f>IF(Producción!A34="","",Producción!A34)</f>
        <v>0046</v>
      </c>
      <c r="C49" s="55" t="str">
        <f>IF(Producción!B34="","",Producción!B34)</f>
        <v>TQT-R1-V30-0046</v>
      </c>
      <c r="D49" s="54" t="str">
        <f>IF(Producción!C34="","",Producción!C34)</f>
        <v/>
      </c>
      <c r="E49" s="54" t="str">
        <f>IF(Producción!E34="","",Producción!E34)</f>
        <v>TQT-R2-V30-0046</v>
      </c>
      <c r="F49" s="54" t="str">
        <f>IF(Producción!F34="","",Producción!F34)</f>
        <v/>
      </c>
      <c r="G49" s="55" t="str">
        <f>IF(Producción!I34="","",Producción!I34)</f>
        <v/>
      </c>
      <c r="H49" s="56" t="str">
        <f t="shared" ref="H49:H80" si="1">IF(B49="","",C49&amp;IF(D49="","",CHAR(10)&amp;D49)&amp;CHAR(10)&amp;E49&amp;IF(F49="","",CHAR(10)&amp;F49)&amp;IF(G49="","",CHAR(10)&amp;"LOT: "&amp;G49))</f>
        <v>TQT-R1-V30-0046
TQT-R2-V30-0046</v>
      </c>
      <c r="I49" s="17"/>
      <c r="J49" s="20"/>
      <c r="K49" s="21">
        <f>IF(C49="","",IFERROR(INDEX('Catálogo PCB'!$C$3:$C$102,MATCH(C49,'Catálogo PCB'!$A$3:$A$102,0)),""))</f>
        <v>0</v>
      </c>
      <c r="L49" s="21">
        <f>IF(E49="","",IFERROR(INDEX('Catálogo PCB'!$H$3:$H$102,MATCH(E49,'Catálogo PCB'!$F$3:$F$102,0)),""))</f>
        <v>0</v>
      </c>
    </row>
    <row r="50" spans="1:12" ht="17.7" customHeight="1">
      <c r="A50" s="54"/>
      <c r="B50" s="54" t="str">
        <f>IF(Producción!A35="","",Producción!A35)</f>
        <v>0047</v>
      </c>
      <c r="C50" s="55" t="str">
        <f>IF(Producción!B35="","",Producción!B35)</f>
        <v>TQT-R1-V30-0047</v>
      </c>
      <c r="D50" s="54" t="str">
        <f>IF(Producción!C35="","",Producción!C35)</f>
        <v/>
      </c>
      <c r="E50" s="54" t="str">
        <f>IF(Producción!E35="","",Producción!E35)</f>
        <v>TQT-R2-V30-0047</v>
      </c>
      <c r="F50" s="54" t="str">
        <f>IF(Producción!F35="","",Producción!F35)</f>
        <v/>
      </c>
      <c r="G50" s="55" t="str">
        <f>IF(Producción!I35="","",Producción!I35)</f>
        <v/>
      </c>
      <c r="H50" s="56" t="str">
        <f t="shared" si="1"/>
        <v>TQT-R1-V30-0047
TQT-R2-V30-0047</v>
      </c>
      <c r="I50" s="17"/>
      <c r="J50" s="20"/>
      <c r="K50" s="21">
        <f>IF(C50="","",IFERROR(INDEX('Catálogo PCB'!$C$3:$C$102,MATCH(C50,'Catálogo PCB'!$A$3:$A$102,0)),""))</f>
        <v>0</v>
      </c>
      <c r="L50" s="21">
        <f>IF(E50="","",IFERROR(INDEX('Catálogo PCB'!$H$3:$H$102,MATCH(E50,'Catálogo PCB'!$F$3:$F$102,0)),""))</f>
        <v>0</v>
      </c>
    </row>
    <row r="51" spans="1:12" ht="17.7" customHeight="1">
      <c r="A51" s="54"/>
      <c r="B51" s="54" t="str">
        <f>IF(Producción!A36="","",Producción!A36)</f>
        <v>0048</v>
      </c>
      <c r="C51" s="55" t="str">
        <f>IF(Producción!B36="","",Producción!B36)</f>
        <v>TQT-R1-V30-0048</v>
      </c>
      <c r="D51" s="54" t="str">
        <f>IF(Producción!C36="","",Producción!C36)</f>
        <v/>
      </c>
      <c r="E51" s="54" t="str">
        <f>IF(Producción!E36="","",Producción!E36)</f>
        <v>TQT-R2-V30-0048</v>
      </c>
      <c r="F51" s="54" t="str">
        <f>IF(Producción!F36="","",Producción!F36)</f>
        <v/>
      </c>
      <c r="G51" s="55" t="str">
        <f>IF(Producción!I36="","",Producción!I36)</f>
        <v/>
      </c>
      <c r="H51" s="56" t="str">
        <f t="shared" si="1"/>
        <v>TQT-R1-V30-0048
TQT-R2-V30-0048</v>
      </c>
      <c r="I51" s="17"/>
      <c r="J51" s="20"/>
      <c r="K51" s="21">
        <f>IF(C51="","",IFERROR(INDEX('Catálogo PCB'!$C$3:$C$102,MATCH(C51,'Catálogo PCB'!$A$3:$A$102,0)),""))</f>
        <v>0</v>
      </c>
      <c r="L51" s="21">
        <f>IF(E51="","",IFERROR(INDEX('Catálogo PCB'!$H$3:$H$102,MATCH(E51,'Catálogo PCB'!$F$3:$F$102,0)),""))</f>
        <v>0</v>
      </c>
    </row>
    <row r="52" spans="1:12" ht="17.7" customHeight="1">
      <c r="A52" s="54"/>
      <c r="B52" s="54" t="str">
        <f>IF(Producción!A37="","",Producción!A37)</f>
        <v>0049</v>
      </c>
      <c r="C52" s="55" t="str">
        <f>IF(Producción!B37="","",Producción!B37)</f>
        <v>TQT-R1-V30-0049</v>
      </c>
      <c r="D52" s="54" t="str">
        <f>IF(Producción!C37="","",Producción!C37)</f>
        <v/>
      </c>
      <c r="E52" s="54" t="str">
        <f>IF(Producción!E37="","",Producción!E37)</f>
        <v>TQT-R2-V30-0049</v>
      </c>
      <c r="F52" s="54" t="str">
        <f>IF(Producción!F37="","",Producción!F37)</f>
        <v/>
      </c>
      <c r="G52" s="55" t="str">
        <f>IF(Producción!I37="","",Producción!I37)</f>
        <v/>
      </c>
      <c r="H52" s="56" t="str">
        <f t="shared" si="1"/>
        <v>TQT-R1-V30-0049
TQT-R2-V30-0049</v>
      </c>
      <c r="I52" s="17"/>
      <c r="J52" s="20"/>
      <c r="K52" s="21">
        <f>IF(C52="","",IFERROR(INDEX('Catálogo PCB'!$C$3:$C$102,MATCH(C52,'Catálogo PCB'!$A$3:$A$102,0)),""))</f>
        <v>0</v>
      </c>
      <c r="L52" s="21">
        <f>IF(E52="","",IFERROR(INDEX('Catálogo PCB'!$H$3:$H$102,MATCH(E52,'Catálogo PCB'!$F$3:$F$102,0)),""))</f>
        <v>0</v>
      </c>
    </row>
    <row r="53" spans="1:12" ht="17.7" customHeight="1">
      <c r="A53" s="54"/>
      <c r="B53" s="54" t="str">
        <f>IF(Producción!A38="","",Producción!A38)</f>
        <v>0050</v>
      </c>
      <c r="C53" s="55" t="str">
        <f>IF(Producción!B38="","",Producción!B38)</f>
        <v>TQT-R1-V30-0050</v>
      </c>
      <c r="D53" s="54" t="str">
        <f>IF(Producción!C38="","",Producción!C38)</f>
        <v/>
      </c>
      <c r="E53" s="54" t="str">
        <f>IF(Producción!E38="","",Producción!E38)</f>
        <v>TQT-R2-V30-0050</v>
      </c>
      <c r="F53" s="54" t="str">
        <f>IF(Producción!F38="","",Producción!F38)</f>
        <v/>
      </c>
      <c r="G53" s="55" t="str">
        <f>IF(Producción!I38="","",Producción!I38)</f>
        <v/>
      </c>
      <c r="H53" s="56" t="str">
        <f t="shared" si="1"/>
        <v>TQT-R1-V30-0050
TQT-R2-V30-0050</v>
      </c>
      <c r="I53" s="17"/>
      <c r="J53" s="20"/>
      <c r="K53" s="21">
        <f>IF(C53="","",IFERROR(INDEX('Catálogo PCB'!$C$3:$C$102,MATCH(C53,'Catálogo PCB'!$A$3:$A$102,0)),""))</f>
        <v>0</v>
      </c>
      <c r="L53" s="21">
        <f>IF(E53="","",IFERROR(INDEX('Catálogo PCB'!$H$3:$H$102,MATCH(E53,'Catálogo PCB'!$F$3:$F$102,0)),""))</f>
        <v>0</v>
      </c>
    </row>
    <row r="54" spans="1:12" ht="17.7" customHeight="1">
      <c r="A54" s="54"/>
      <c r="B54" s="54" t="str">
        <f>IF(Producción!A39="","",Producción!A39)</f>
        <v>0051</v>
      </c>
      <c r="C54" s="55" t="str">
        <f>IF(Producción!B39="","",Producción!B39)</f>
        <v>TQT-R1-V30-0051</v>
      </c>
      <c r="D54" s="54" t="str">
        <f>IF(Producción!C39="","",Producción!C39)</f>
        <v/>
      </c>
      <c r="E54" s="54" t="str">
        <f>IF(Producción!E39="","",Producción!E39)</f>
        <v>TQT-R2-V30-0051</v>
      </c>
      <c r="F54" s="54" t="str">
        <f>IF(Producción!F39="","",Producción!F39)</f>
        <v/>
      </c>
      <c r="G54" s="55" t="str">
        <f>IF(Producción!I39="","",Producción!I39)</f>
        <v/>
      </c>
      <c r="H54" s="56" t="str">
        <f t="shared" si="1"/>
        <v>TQT-R1-V30-0051
TQT-R2-V30-0051</v>
      </c>
      <c r="I54" s="17"/>
      <c r="J54" s="20"/>
      <c r="K54" s="21">
        <f>IF(C54="","",IFERROR(INDEX('Catálogo PCB'!$C$3:$C$102,MATCH(C54,'Catálogo PCB'!$A$3:$A$102,0)),""))</f>
        <v>0</v>
      </c>
      <c r="L54" s="21">
        <f>IF(E54="","",IFERROR(INDEX('Catálogo PCB'!$H$3:$H$102,MATCH(E54,'Catálogo PCB'!$F$3:$F$102,0)),""))</f>
        <v>0</v>
      </c>
    </row>
    <row r="55" spans="1:12" ht="17.7" customHeight="1">
      <c r="A55" s="54"/>
      <c r="B55" s="54" t="str">
        <f>IF(Producción!A40="","",Producción!A40)</f>
        <v>0052</v>
      </c>
      <c r="C55" s="55" t="str">
        <f>IF(Producción!B40="","",Producción!B40)</f>
        <v>TQT-R1-V30-0052</v>
      </c>
      <c r="D55" s="54" t="str">
        <f>IF(Producción!C40="","",Producción!C40)</f>
        <v/>
      </c>
      <c r="E55" s="54" t="str">
        <f>IF(Producción!E40="","",Producción!E40)</f>
        <v>TQT-R2-V30-0052</v>
      </c>
      <c r="F55" s="54" t="str">
        <f>IF(Producción!F40="","",Producción!F40)</f>
        <v/>
      </c>
      <c r="G55" s="55" t="str">
        <f>IF(Producción!I40="","",Producción!I40)</f>
        <v/>
      </c>
      <c r="H55" s="56" t="str">
        <f t="shared" si="1"/>
        <v>TQT-R1-V30-0052
TQT-R2-V30-0052</v>
      </c>
      <c r="I55" s="17"/>
      <c r="J55" s="20"/>
      <c r="K55" s="21">
        <f>IF(C55="","",IFERROR(INDEX('Catálogo PCB'!$C$3:$C$102,MATCH(C55,'Catálogo PCB'!$A$3:$A$102,0)),""))</f>
        <v>0</v>
      </c>
      <c r="L55" s="21">
        <f>IF(E55="","",IFERROR(INDEX('Catálogo PCB'!$H$3:$H$102,MATCH(E55,'Catálogo PCB'!$F$3:$F$102,0)),""))</f>
        <v>0</v>
      </c>
    </row>
    <row r="56" spans="1:12" ht="17.7" customHeight="1">
      <c r="A56" s="54"/>
      <c r="B56" s="54" t="str">
        <f>IF(Producción!A41="","",Producción!A41)</f>
        <v>0053</v>
      </c>
      <c r="C56" s="55" t="str">
        <f>IF(Producción!B41="","",Producción!B41)</f>
        <v>TQT-R1-V30-0053</v>
      </c>
      <c r="D56" s="54" t="str">
        <f>IF(Producción!C41="","",Producción!C41)</f>
        <v/>
      </c>
      <c r="E56" s="54" t="str">
        <f>IF(Producción!E41="","",Producción!E41)</f>
        <v>TQT-R2-V30-0053</v>
      </c>
      <c r="F56" s="54" t="str">
        <f>IF(Producción!F41="","",Producción!F41)</f>
        <v/>
      </c>
      <c r="G56" s="55" t="str">
        <f>IF(Producción!I41="","",Producción!I41)</f>
        <v/>
      </c>
      <c r="H56" s="56" t="str">
        <f t="shared" si="1"/>
        <v>TQT-R1-V30-0053
TQT-R2-V30-0053</v>
      </c>
      <c r="I56" s="17"/>
      <c r="J56" s="20"/>
      <c r="K56" s="21">
        <f>IF(C56="","",IFERROR(INDEX('Catálogo PCB'!$C$3:$C$102,MATCH(C56,'Catálogo PCB'!$A$3:$A$102,0)),""))</f>
        <v>0</v>
      </c>
      <c r="L56" s="21">
        <f>IF(E56="","",IFERROR(INDEX('Catálogo PCB'!$H$3:$H$102,MATCH(E56,'Catálogo PCB'!$F$3:$F$102,0)),""))</f>
        <v>0</v>
      </c>
    </row>
    <row r="57" spans="1:12" ht="17.7" customHeight="1">
      <c r="A57" s="54"/>
      <c r="B57" s="54" t="str">
        <f>IF(Producción!A42="","",Producción!A42)</f>
        <v>0054</v>
      </c>
      <c r="C57" s="55" t="str">
        <f>IF(Producción!B42="","",Producción!B42)</f>
        <v>TQT-R1-V30-0054</v>
      </c>
      <c r="D57" s="54" t="str">
        <f>IF(Producción!C42="","",Producción!C42)</f>
        <v/>
      </c>
      <c r="E57" s="54" t="str">
        <f>IF(Producción!E42="","",Producción!E42)</f>
        <v>TQT-R2-V30-0054</v>
      </c>
      <c r="F57" s="54" t="str">
        <f>IF(Producción!F42="","",Producción!F42)</f>
        <v/>
      </c>
      <c r="G57" s="55" t="str">
        <f>IF(Producción!I42="","",Producción!I42)</f>
        <v/>
      </c>
      <c r="H57" s="56" t="str">
        <f t="shared" si="1"/>
        <v>TQT-R1-V30-0054
TQT-R2-V30-0054</v>
      </c>
      <c r="I57" s="17"/>
      <c r="J57" s="20"/>
      <c r="K57" s="21">
        <f>IF(C57="","",IFERROR(INDEX('Catálogo PCB'!$C$3:$C$102,MATCH(C57,'Catálogo PCB'!$A$3:$A$102,0)),""))</f>
        <v>0</v>
      </c>
      <c r="L57" s="21">
        <f>IF(E57="","",IFERROR(INDEX('Catálogo PCB'!$H$3:$H$102,MATCH(E57,'Catálogo PCB'!$F$3:$F$102,0)),""))</f>
        <v>0</v>
      </c>
    </row>
    <row r="58" spans="1:12" ht="17.7" customHeight="1">
      <c r="A58" s="54"/>
      <c r="B58" s="54" t="str">
        <f>IF(Producción!A43="","",Producción!A43)</f>
        <v>0055</v>
      </c>
      <c r="C58" s="55" t="str">
        <f>IF(Producción!B43="","",Producción!B43)</f>
        <v>TQT-R1-V30-0055</v>
      </c>
      <c r="D58" s="54" t="str">
        <f>IF(Producción!C43="","",Producción!C43)</f>
        <v/>
      </c>
      <c r="E58" s="54" t="str">
        <f>IF(Producción!E43="","",Producción!E43)</f>
        <v>TQT-R2-V30-0055</v>
      </c>
      <c r="F58" s="54" t="str">
        <f>IF(Producción!F43="","",Producción!F43)</f>
        <v/>
      </c>
      <c r="G58" s="55" t="str">
        <f>IF(Producción!I43="","",Producción!I43)</f>
        <v/>
      </c>
      <c r="H58" s="56" t="str">
        <f t="shared" si="1"/>
        <v>TQT-R1-V30-0055
TQT-R2-V30-0055</v>
      </c>
      <c r="I58" s="17"/>
      <c r="J58" s="20"/>
      <c r="K58" s="21">
        <f>IF(C58="","",IFERROR(INDEX('Catálogo PCB'!$C$3:$C$102,MATCH(C58,'Catálogo PCB'!$A$3:$A$102,0)),""))</f>
        <v>0</v>
      </c>
      <c r="L58" s="21">
        <f>IF(E58="","",IFERROR(INDEX('Catálogo PCB'!$H$3:$H$102,MATCH(E58,'Catálogo PCB'!$F$3:$F$102,0)),""))</f>
        <v>0</v>
      </c>
    </row>
    <row r="59" spans="1:12" ht="17.7" customHeight="1">
      <c r="A59" s="54"/>
      <c r="B59" s="54" t="str">
        <f>IF(Producción!A44="","",Producción!A44)</f>
        <v>0056</v>
      </c>
      <c r="C59" s="55" t="str">
        <f>IF(Producción!B44="","",Producción!B44)</f>
        <v>TQT-R1-V30-0056</v>
      </c>
      <c r="D59" s="54" t="str">
        <f>IF(Producción!C44="","",Producción!C44)</f>
        <v/>
      </c>
      <c r="E59" s="54" t="str">
        <f>IF(Producción!E44="","",Producción!E44)</f>
        <v>TQT-R2-V30-0056</v>
      </c>
      <c r="F59" s="54" t="str">
        <f>IF(Producción!F44="","",Producción!F44)</f>
        <v/>
      </c>
      <c r="G59" s="55" t="str">
        <f>IF(Producción!I44="","",Producción!I44)</f>
        <v/>
      </c>
      <c r="H59" s="56" t="str">
        <f t="shared" si="1"/>
        <v>TQT-R1-V30-0056
TQT-R2-V30-0056</v>
      </c>
      <c r="I59" s="17"/>
      <c r="J59" s="20"/>
      <c r="K59" s="21">
        <f>IF(C59="","",IFERROR(INDEX('Catálogo PCB'!$C$3:$C$102,MATCH(C59,'Catálogo PCB'!$A$3:$A$102,0)),""))</f>
        <v>0</v>
      </c>
      <c r="L59" s="21">
        <f>IF(E59="","",IFERROR(INDEX('Catálogo PCB'!$H$3:$H$102,MATCH(E59,'Catálogo PCB'!$F$3:$F$102,0)),""))</f>
        <v>0</v>
      </c>
    </row>
    <row r="60" spans="1:12" ht="17.7" customHeight="1">
      <c r="A60" s="54"/>
      <c r="B60" s="54" t="str">
        <f>IF(Producción!A45="","",Producción!A45)</f>
        <v>0057</v>
      </c>
      <c r="C60" s="55" t="str">
        <f>IF(Producción!B45="","",Producción!B45)</f>
        <v>TQT-R1-V30-0057</v>
      </c>
      <c r="D60" s="54" t="str">
        <f>IF(Producción!C45="","",Producción!C45)</f>
        <v/>
      </c>
      <c r="E60" s="54" t="str">
        <f>IF(Producción!E45="","",Producción!E45)</f>
        <v>TQT-R2-V30-0057</v>
      </c>
      <c r="F60" s="54" t="str">
        <f>IF(Producción!F45="","",Producción!F45)</f>
        <v/>
      </c>
      <c r="G60" s="55" t="str">
        <f>IF(Producción!I45="","",Producción!I45)</f>
        <v/>
      </c>
      <c r="H60" s="56" t="str">
        <f t="shared" si="1"/>
        <v>TQT-R1-V30-0057
TQT-R2-V30-0057</v>
      </c>
      <c r="I60" s="17"/>
      <c r="J60" s="20"/>
      <c r="K60" s="21">
        <f>IF(C60="","",IFERROR(INDEX('Catálogo PCB'!$C$3:$C$102,MATCH(C60,'Catálogo PCB'!$A$3:$A$102,0)),""))</f>
        <v>0</v>
      </c>
      <c r="L60" s="21">
        <f>IF(E60="","",IFERROR(INDEX('Catálogo PCB'!$H$3:$H$102,MATCH(E60,'Catálogo PCB'!$F$3:$F$102,0)),""))</f>
        <v>0</v>
      </c>
    </row>
    <row r="61" spans="1:12" ht="17.7" customHeight="1">
      <c r="A61" s="54"/>
      <c r="B61" s="54" t="str">
        <f>IF(Producción!A46="","",Producción!A46)</f>
        <v>0058</v>
      </c>
      <c r="C61" s="55" t="str">
        <f>IF(Producción!B46="","",Producción!B46)</f>
        <v>TQT-R1-V30-0058</v>
      </c>
      <c r="D61" s="54" t="str">
        <f>IF(Producción!C46="","",Producción!C46)</f>
        <v/>
      </c>
      <c r="E61" s="54" t="str">
        <f>IF(Producción!E46="","",Producción!E46)</f>
        <v>TQT-R2-V30-0058</v>
      </c>
      <c r="F61" s="54" t="str">
        <f>IF(Producción!F46="","",Producción!F46)</f>
        <v/>
      </c>
      <c r="G61" s="55" t="str">
        <f>IF(Producción!I46="","",Producción!I46)</f>
        <v/>
      </c>
      <c r="H61" s="56" t="str">
        <f t="shared" si="1"/>
        <v>TQT-R1-V30-0058
TQT-R2-V30-0058</v>
      </c>
      <c r="I61" s="17"/>
      <c r="J61" s="20"/>
      <c r="K61" s="21">
        <f>IF(C61="","",IFERROR(INDEX('Catálogo PCB'!$C$3:$C$102,MATCH(C61,'Catálogo PCB'!$A$3:$A$102,0)),""))</f>
        <v>0</v>
      </c>
      <c r="L61" s="21">
        <f>IF(E61="","",IFERROR(INDEX('Catálogo PCB'!$H$3:$H$102,MATCH(E61,'Catálogo PCB'!$F$3:$F$102,0)),""))</f>
        <v>0</v>
      </c>
    </row>
    <row r="62" spans="1:12" ht="17.7" customHeight="1">
      <c r="A62" s="54"/>
      <c r="B62" s="54" t="str">
        <f>IF(Producción!A47="","",Producción!A47)</f>
        <v>0059</v>
      </c>
      <c r="C62" s="55" t="str">
        <f>IF(Producción!B47="","",Producción!B47)</f>
        <v>TQT-R1-V30-0059</v>
      </c>
      <c r="D62" s="54" t="str">
        <f>IF(Producción!C47="","",Producción!C47)</f>
        <v/>
      </c>
      <c r="E62" s="54" t="str">
        <f>IF(Producción!E47="","",Producción!E47)</f>
        <v>TQT-R2-V30-0059</v>
      </c>
      <c r="F62" s="54" t="str">
        <f>IF(Producción!F47="","",Producción!F47)</f>
        <v/>
      </c>
      <c r="G62" s="55" t="str">
        <f>IF(Producción!I47="","",Producción!I47)</f>
        <v/>
      </c>
      <c r="H62" s="56" t="str">
        <f t="shared" si="1"/>
        <v>TQT-R1-V30-0059
TQT-R2-V30-0059</v>
      </c>
      <c r="I62" s="17"/>
      <c r="J62" s="20"/>
      <c r="K62" s="21">
        <f>IF(C62="","",IFERROR(INDEX('Catálogo PCB'!$C$3:$C$102,MATCH(C62,'Catálogo PCB'!$A$3:$A$102,0)),""))</f>
        <v>0</v>
      </c>
      <c r="L62" s="21">
        <f>IF(E62="","",IFERROR(INDEX('Catálogo PCB'!$H$3:$H$102,MATCH(E62,'Catálogo PCB'!$F$3:$F$102,0)),""))</f>
        <v>0</v>
      </c>
    </row>
    <row r="63" spans="1:12" ht="17.7" customHeight="1">
      <c r="A63" s="54"/>
      <c r="B63" s="54" t="str">
        <f>IF(Producción!A48="","",Producción!A48)</f>
        <v>0060</v>
      </c>
      <c r="C63" s="55" t="str">
        <f>IF(Producción!B48="","",Producción!B48)</f>
        <v>TQT-R1-V30-0060</v>
      </c>
      <c r="D63" s="54" t="str">
        <f>IF(Producción!C48="","",Producción!C48)</f>
        <v/>
      </c>
      <c r="E63" s="54" t="str">
        <f>IF(Producción!E48="","",Producción!E48)</f>
        <v>TQT-R2-V30-0060</v>
      </c>
      <c r="F63" s="54" t="str">
        <f>IF(Producción!F48="","",Producción!F48)</f>
        <v/>
      </c>
      <c r="G63" s="55" t="str">
        <f>IF(Producción!I48="","",Producción!I48)</f>
        <v/>
      </c>
      <c r="H63" s="56" t="str">
        <f t="shared" si="1"/>
        <v>TQT-R1-V30-0060
TQT-R2-V30-0060</v>
      </c>
      <c r="I63" s="17"/>
      <c r="J63" s="20"/>
      <c r="K63" s="21">
        <f>IF(C63="","",IFERROR(INDEX('Catálogo PCB'!$C$3:$C$102,MATCH(C63,'Catálogo PCB'!$A$3:$A$102,0)),""))</f>
        <v>0</v>
      </c>
      <c r="L63" s="21">
        <f>IF(E63="","",IFERROR(INDEX('Catálogo PCB'!$H$3:$H$102,MATCH(E63,'Catálogo PCB'!$F$3:$F$102,0)),""))</f>
        <v>0</v>
      </c>
    </row>
    <row r="64" spans="1:12" ht="17.7" customHeight="1">
      <c r="A64" s="54"/>
      <c r="B64" s="54" t="str">
        <f>IF(Producción!A49="","",Producción!A49)</f>
        <v>0061</v>
      </c>
      <c r="C64" s="55" t="str">
        <f>IF(Producción!B49="","",Producción!B49)</f>
        <v>TQT-R1-V30-0061</v>
      </c>
      <c r="D64" s="54" t="str">
        <f>IF(Producción!C49="","",Producción!C49)</f>
        <v/>
      </c>
      <c r="E64" s="54" t="str">
        <f>IF(Producción!E49="","",Producción!E49)</f>
        <v>TQT-R2-V30-0061</v>
      </c>
      <c r="F64" s="54" t="str">
        <f>IF(Producción!F49="","",Producción!F49)</f>
        <v/>
      </c>
      <c r="G64" s="55" t="str">
        <f>IF(Producción!I49="","",Producción!I49)</f>
        <v/>
      </c>
      <c r="H64" s="56" t="str">
        <f t="shared" si="1"/>
        <v>TQT-R1-V30-0061
TQT-R2-V30-0061</v>
      </c>
      <c r="I64" s="17"/>
      <c r="J64" s="20"/>
      <c r="K64" s="21">
        <f>IF(C64="","",IFERROR(INDEX('Catálogo PCB'!$C$3:$C$102,MATCH(C64,'Catálogo PCB'!$A$3:$A$102,0)),""))</f>
        <v>0</v>
      </c>
      <c r="L64" s="21">
        <f>IF(E64="","",IFERROR(INDEX('Catálogo PCB'!$H$3:$H$102,MATCH(E64,'Catálogo PCB'!$F$3:$F$102,0)),""))</f>
        <v>0</v>
      </c>
    </row>
    <row r="65" spans="1:12" ht="17.7" customHeight="1">
      <c r="A65" s="54"/>
      <c r="B65" s="54" t="str">
        <f>IF(Producción!A50="","",Producción!A50)</f>
        <v>0062</v>
      </c>
      <c r="C65" s="55" t="str">
        <f>IF(Producción!B50="","",Producción!B50)</f>
        <v>TQT-R1-V30-0062</v>
      </c>
      <c r="D65" s="54" t="str">
        <f>IF(Producción!C50="","",Producción!C50)</f>
        <v/>
      </c>
      <c r="E65" s="54" t="str">
        <f>IF(Producción!E50="","",Producción!E50)</f>
        <v>TQT-R2-V30-0062</v>
      </c>
      <c r="F65" s="54" t="str">
        <f>IF(Producción!F50="","",Producción!F50)</f>
        <v/>
      </c>
      <c r="G65" s="55" t="str">
        <f>IF(Producción!I50="","",Producción!I50)</f>
        <v/>
      </c>
      <c r="H65" s="56" t="str">
        <f t="shared" si="1"/>
        <v>TQT-R1-V30-0062
TQT-R2-V30-0062</v>
      </c>
      <c r="I65" s="17"/>
      <c r="J65" s="20"/>
      <c r="K65" s="21">
        <f>IF(C65="","",IFERROR(INDEX('Catálogo PCB'!$C$3:$C$102,MATCH(C65,'Catálogo PCB'!$A$3:$A$102,0)),""))</f>
        <v>0</v>
      </c>
      <c r="L65" s="21">
        <f>IF(E65="","",IFERROR(INDEX('Catálogo PCB'!$H$3:$H$102,MATCH(E65,'Catálogo PCB'!$F$3:$F$102,0)),""))</f>
        <v>0</v>
      </c>
    </row>
    <row r="66" spans="1:12" ht="17.7" customHeight="1">
      <c r="A66" s="54"/>
      <c r="B66" s="54" t="str">
        <f>IF(Producción!A51="","",Producción!A51)</f>
        <v>0063</v>
      </c>
      <c r="C66" s="55" t="str">
        <f>IF(Producción!B51="","",Producción!B51)</f>
        <v>TQT-R1-V30-0063</v>
      </c>
      <c r="D66" s="54" t="str">
        <f>IF(Producción!C51="","",Producción!C51)</f>
        <v/>
      </c>
      <c r="E66" s="54" t="str">
        <f>IF(Producción!E51="","",Producción!E51)</f>
        <v>TQT-R2-V30-0063</v>
      </c>
      <c r="F66" s="54" t="str">
        <f>IF(Producción!F51="","",Producción!F51)</f>
        <v/>
      </c>
      <c r="G66" s="55" t="str">
        <f>IF(Producción!I51="","",Producción!I51)</f>
        <v/>
      </c>
      <c r="H66" s="56" t="str">
        <f t="shared" si="1"/>
        <v>TQT-R1-V30-0063
TQT-R2-V30-0063</v>
      </c>
      <c r="I66" s="17"/>
      <c r="J66" s="20"/>
      <c r="K66" s="21">
        <f>IF(C66="","",IFERROR(INDEX('Catálogo PCB'!$C$3:$C$102,MATCH(C66,'Catálogo PCB'!$A$3:$A$102,0)),""))</f>
        <v>0</v>
      </c>
      <c r="L66" s="21">
        <f>IF(E66="","",IFERROR(INDEX('Catálogo PCB'!$H$3:$H$102,MATCH(E66,'Catálogo PCB'!$F$3:$F$102,0)),""))</f>
        <v>0</v>
      </c>
    </row>
    <row r="67" spans="1:12" ht="17.7" customHeight="1">
      <c r="A67" s="54"/>
      <c r="B67" s="54" t="str">
        <f>IF(Producción!A52="","",Producción!A52)</f>
        <v>0064</v>
      </c>
      <c r="C67" s="55" t="str">
        <f>IF(Producción!B52="","",Producción!B52)</f>
        <v>TQT-R1-V30-0064</v>
      </c>
      <c r="D67" s="54" t="str">
        <f>IF(Producción!C52="","",Producción!C52)</f>
        <v/>
      </c>
      <c r="E67" s="54" t="str">
        <f>IF(Producción!E52="","",Producción!E52)</f>
        <v>TQT-R2-V30-0064</v>
      </c>
      <c r="F67" s="54" t="str">
        <f>IF(Producción!F52="","",Producción!F52)</f>
        <v/>
      </c>
      <c r="G67" s="55" t="str">
        <f>IF(Producción!I52="","",Producción!I52)</f>
        <v/>
      </c>
      <c r="H67" s="56" t="str">
        <f t="shared" si="1"/>
        <v>TQT-R1-V30-0064
TQT-R2-V30-0064</v>
      </c>
      <c r="I67" s="17"/>
      <c r="J67" s="20"/>
      <c r="K67" s="21">
        <f>IF(C67="","",IFERROR(INDEX('Catálogo PCB'!$C$3:$C$102,MATCH(C67,'Catálogo PCB'!$A$3:$A$102,0)),""))</f>
        <v>0</v>
      </c>
      <c r="L67" s="21">
        <f>IF(E67="","",IFERROR(INDEX('Catálogo PCB'!$H$3:$H$102,MATCH(E67,'Catálogo PCB'!$F$3:$F$102,0)),""))</f>
        <v>0</v>
      </c>
    </row>
    <row r="68" spans="1:12" ht="17.7" customHeight="1">
      <c r="A68" s="54"/>
      <c r="B68" s="54" t="str">
        <f>IF(Producción!A53="","",Producción!A53)</f>
        <v>0065</v>
      </c>
      <c r="C68" s="55" t="str">
        <f>IF(Producción!B53="","",Producción!B53)</f>
        <v>TQT-R1-V30-0065</v>
      </c>
      <c r="D68" s="54" t="str">
        <f>IF(Producción!C53="","",Producción!C53)</f>
        <v/>
      </c>
      <c r="E68" s="54" t="str">
        <f>IF(Producción!E53="","",Producción!E53)</f>
        <v>TQT-R2-V30-0065</v>
      </c>
      <c r="F68" s="54" t="str">
        <f>IF(Producción!F53="","",Producción!F53)</f>
        <v/>
      </c>
      <c r="G68" s="55" t="str">
        <f>IF(Producción!I53="","",Producción!I53)</f>
        <v/>
      </c>
      <c r="H68" s="56" t="str">
        <f t="shared" si="1"/>
        <v>TQT-R1-V30-0065
TQT-R2-V30-0065</v>
      </c>
      <c r="I68" s="17"/>
      <c r="J68" s="20"/>
      <c r="K68" s="21">
        <f>IF(C68="","",IFERROR(INDEX('Catálogo PCB'!$C$3:$C$102,MATCH(C68,'Catálogo PCB'!$A$3:$A$102,0)),""))</f>
        <v>0</v>
      </c>
      <c r="L68" s="21">
        <f>IF(E68="","",IFERROR(INDEX('Catálogo PCB'!$H$3:$H$102,MATCH(E68,'Catálogo PCB'!$F$3:$F$102,0)),""))</f>
        <v>0</v>
      </c>
    </row>
    <row r="69" spans="1:12" ht="17.7" customHeight="1">
      <c r="A69" s="54"/>
      <c r="B69" s="54" t="str">
        <f>IF(Producción!A54="","",Producción!A54)</f>
        <v>0066</v>
      </c>
      <c r="C69" s="55" t="str">
        <f>IF(Producción!B54="","",Producción!B54)</f>
        <v>TQT-R1-V30-0066</v>
      </c>
      <c r="D69" s="54" t="str">
        <f>IF(Producción!C54="","",Producción!C54)</f>
        <v/>
      </c>
      <c r="E69" s="54" t="str">
        <f>IF(Producción!E54="","",Producción!E54)</f>
        <v>TQT-R2-V30-0066</v>
      </c>
      <c r="F69" s="54" t="str">
        <f>IF(Producción!F54="","",Producción!F54)</f>
        <v/>
      </c>
      <c r="G69" s="55" t="str">
        <f>IF(Producción!I54="","",Producción!I54)</f>
        <v/>
      </c>
      <c r="H69" s="56" t="str">
        <f t="shared" si="1"/>
        <v>TQT-R1-V30-0066
TQT-R2-V30-0066</v>
      </c>
      <c r="I69" s="17"/>
      <c r="J69" s="20"/>
      <c r="K69" s="21">
        <f>IF(C69="","",IFERROR(INDEX('Catálogo PCB'!$C$3:$C$102,MATCH(C69,'Catálogo PCB'!$A$3:$A$102,0)),""))</f>
        <v>0</v>
      </c>
      <c r="L69" s="21">
        <f>IF(E69="","",IFERROR(INDEX('Catálogo PCB'!$H$3:$H$102,MATCH(E69,'Catálogo PCB'!$F$3:$F$102,0)),""))</f>
        <v>0</v>
      </c>
    </row>
    <row r="70" spans="1:12" ht="17.7" customHeight="1">
      <c r="A70" s="54"/>
      <c r="B70" s="54" t="str">
        <f>IF(Producción!A55="","",Producción!A55)</f>
        <v>0067</v>
      </c>
      <c r="C70" s="55" t="str">
        <f>IF(Producción!B55="","",Producción!B55)</f>
        <v>TQT-R1-V30-0067</v>
      </c>
      <c r="D70" s="54" t="str">
        <f>IF(Producción!C55="","",Producción!C55)</f>
        <v/>
      </c>
      <c r="E70" s="54" t="str">
        <f>IF(Producción!E55="","",Producción!E55)</f>
        <v>TQT-R2-V30-0067</v>
      </c>
      <c r="F70" s="54" t="str">
        <f>IF(Producción!F55="","",Producción!F55)</f>
        <v/>
      </c>
      <c r="G70" s="55" t="str">
        <f>IF(Producción!I55="","",Producción!I55)</f>
        <v/>
      </c>
      <c r="H70" s="56" t="str">
        <f t="shared" si="1"/>
        <v>TQT-R1-V30-0067
TQT-R2-V30-0067</v>
      </c>
      <c r="I70" s="17"/>
      <c r="J70" s="20"/>
      <c r="K70" s="21">
        <f>IF(C70="","",IFERROR(INDEX('Catálogo PCB'!$C$3:$C$102,MATCH(C70,'Catálogo PCB'!$A$3:$A$102,0)),""))</f>
        <v>0</v>
      </c>
      <c r="L70" s="21">
        <f>IF(E70="","",IFERROR(INDEX('Catálogo PCB'!$H$3:$H$102,MATCH(E70,'Catálogo PCB'!$F$3:$F$102,0)),""))</f>
        <v>0</v>
      </c>
    </row>
    <row r="71" spans="1:12" ht="17.7" customHeight="1">
      <c r="A71" s="54"/>
      <c r="B71" s="54" t="str">
        <f>IF(Producción!A56="","",Producción!A56)</f>
        <v>0068</v>
      </c>
      <c r="C71" s="55" t="str">
        <f>IF(Producción!B56="","",Producción!B56)</f>
        <v>TQT-R1-V30-0068</v>
      </c>
      <c r="D71" s="54" t="str">
        <f>IF(Producción!C56="","",Producción!C56)</f>
        <v/>
      </c>
      <c r="E71" s="54" t="str">
        <f>IF(Producción!E56="","",Producción!E56)</f>
        <v>TQT-R2-V30-0068</v>
      </c>
      <c r="F71" s="54" t="str">
        <f>IF(Producción!F56="","",Producción!F56)</f>
        <v/>
      </c>
      <c r="G71" s="55" t="str">
        <f>IF(Producción!I56="","",Producción!I56)</f>
        <v/>
      </c>
      <c r="H71" s="56" t="str">
        <f t="shared" si="1"/>
        <v>TQT-R1-V30-0068
TQT-R2-V30-0068</v>
      </c>
      <c r="I71" s="17"/>
      <c r="J71" s="20"/>
      <c r="K71" s="21">
        <f>IF(C71="","",IFERROR(INDEX('Catálogo PCB'!$C$3:$C$102,MATCH(C71,'Catálogo PCB'!$A$3:$A$102,0)),""))</f>
        <v>0</v>
      </c>
      <c r="L71" s="21">
        <f>IF(E71="","",IFERROR(INDEX('Catálogo PCB'!$H$3:$H$102,MATCH(E71,'Catálogo PCB'!$F$3:$F$102,0)),""))</f>
        <v>0</v>
      </c>
    </row>
    <row r="72" spans="1:12" ht="17.7" customHeight="1">
      <c r="A72" s="54"/>
      <c r="B72" s="54" t="str">
        <f>IF(Producción!A57="","",Producción!A57)</f>
        <v>0069</v>
      </c>
      <c r="C72" s="55" t="str">
        <f>IF(Producción!B57="","",Producción!B57)</f>
        <v>TQT-R1-V30-0069</v>
      </c>
      <c r="D72" s="54" t="str">
        <f>IF(Producción!C57="","",Producción!C57)</f>
        <v/>
      </c>
      <c r="E72" s="54" t="str">
        <f>IF(Producción!E57="","",Producción!E57)</f>
        <v>TQT-R2-V30-0069</v>
      </c>
      <c r="F72" s="54" t="str">
        <f>IF(Producción!F57="","",Producción!F57)</f>
        <v/>
      </c>
      <c r="G72" s="55" t="str">
        <f>IF(Producción!I57="","",Producción!I57)</f>
        <v/>
      </c>
      <c r="H72" s="56" t="str">
        <f t="shared" si="1"/>
        <v>TQT-R1-V30-0069
TQT-R2-V30-0069</v>
      </c>
      <c r="I72" s="17"/>
      <c r="J72" s="20"/>
      <c r="K72" s="21">
        <f>IF(C72="","",IFERROR(INDEX('Catálogo PCB'!$C$3:$C$102,MATCH(C72,'Catálogo PCB'!$A$3:$A$102,0)),""))</f>
        <v>0</v>
      </c>
      <c r="L72" s="21">
        <f>IF(E72="","",IFERROR(INDEX('Catálogo PCB'!$H$3:$H$102,MATCH(E72,'Catálogo PCB'!$F$3:$F$102,0)),""))</f>
        <v>0</v>
      </c>
    </row>
    <row r="73" spans="1:12" ht="17.7" customHeight="1">
      <c r="A73" s="54"/>
      <c r="B73" s="54" t="str">
        <f>IF(Producción!A58="","",Producción!A58)</f>
        <v>0070</v>
      </c>
      <c r="C73" s="55" t="str">
        <f>IF(Producción!B58="","",Producción!B58)</f>
        <v>TQT-R1-V30-0070</v>
      </c>
      <c r="D73" s="54" t="str">
        <f>IF(Producción!C58="","",Producción!C58)</f>
        <v/>
      </c>
      <c r="E73" s="54" t="str">
        <f>IF(Producción!E58="","",Producción!E58)</f>
        <v>TQT-R2-V30-0070</v>
      </c>
      <c r="F73" s="54" t="str">
        <f>IF(Producción!F58="","",Producción!F58)</f>
        <v/>
      </c>
      <c r="G73" s="55" t="str">
        <f>IF(Producción!I58="","",Producción!I58)</f>
        <v/>
      </c>
      <c r="H73" s="56" t="str">
        <f t="shared" si="1"/>
        <v>TQT-R1-V30-0070
TQT-R2-V30-0070</v>
      </c>
      <c r="I73" s="17"/>
      <c r="J73" s="20"/>
      <c r="K73" s="21">
        <f>IF(C73="","",IFERROR(INDEX('Catálogo PCB'!$C$3:$C$102,MATCH(C73,'Catálogo PCB'!$A$3:$A$102,0)),""))</f>
        <v>0</v>
      </c>
      <c r="L73" s="21">
        <f>IF(E73="","",IFERROR(INDEX('Catálogo PCB'!$H$3:$H$102,MATCH(E73,'Catálogo PCB'!$F$3:$F$102,0)),""))</f>
        <v>0</v>
      </c>
    </row>
    <row r="74" spans="1:12" ht="17.7" customHeight="1">
      <c r="A74" s="54"/>
      <c r="B74" s="54" t="str">
        <f>IF(Producción!A59="","",Producción!A59)</f>
        <v>0071</v>
      </c>
      <c r="C74" s="55" t="str">
        <f>IF(Producción!B59="","",Producción!B59)</f>
        <v>TQT-R1-V30-0071</v>
      </c>
      <c r="D74" s="54" t="str">
        <f>IF(Producción!C59="","",Producción!C59)</f>
        <v/>
      </c>
      <c r="E74" s="54" t="str">
        <f>IF(Producción!E59="","",Producción!E59)</f>
        <v>TQT-R2-V30-0071</v>
      </c>
      <c r="F74" s="54" t="str">
        <f>IF(Producción!F59="","",Producción!F59)</f>
        <v/>
      </c>
      <c r="G74" s="55" t="str">
        <f>IF(Producción!I59="","",Producción!I59)</f>
        <v/>
      </c>
      <c r="H74" s="56" t="str">
        <f t="shared" si="1"/>
        <v>TQT-R1-V30-0071
TQT-R2-V30-0071</v>
      </c>
      <c r="I74" s="17"/>
      <c r="J74" s="20"/>
      <c r="K74" s="21">
        <f>IF(C74="","",IFERROR(INDEX('Catálogo PCB'!$C$3:$C$102,MATCH(C74,'Catálogo PCB'!$A$3:$A$102,0)),""))</f>
        <v>0</v>
      </c>
      <c r="L74" s="21">
        <f>IF(E74="","",IFERROR(INDEX('Catálogo PCB'!$H$3:$H$102,MATCH(E74,'Catálogo PCB'!$F$3:$F$102,0)),""))</f>
        <v>0</v>
      </c>
    </row>
    <row r="75" spans="1:12" ht="17.7" customHeight="1">
      <c r="A75" s="54"/>
      <c r="B75" s="54" t="str">
        <f>IF(Producción!A60="","",Producción!A60)</f>
        <v>0072</v>
      </c>
      <c r="C75" s="55" t="str">
        <f>IF(Producción!B60="","",Producción!B60)</f>
        <v>TQT-R1-V30-0072</v>
      </c>
      <c r="D75" s="54" t="str">
        <f>IF(Producción!C60="","",Producción!C60)</f>
        <v/>
      </c>
      <c r="E75" s="54" t="str">
        <f>IF(Producción!E60="","",Producción!E60)</f>
        <v>TQT-R2-V30-0072</v>
      </c>
      <c r="F75" s="54" t="str">
        <f>IF(Producción!F60="","",Producción!F60)</f>
        <v/>
      </c>
      <c r="G75" s="55" t="str">
        <f>IF(Producción!I60="","",Producción!I60)</f>
        <v/>
      </c>
      <c r="H75" s="56" t="str">
        <f t="shared" si="1"/>
        <v>TQT-R1-V30-0072
TQT-R2-V30-0072</v>
      </c>
      <c r="I75" s="17"/>
      <c r="J75" s="20"/>
      <c r="K75" s="21">
        <f>IF(C75="","",IFERROR(INDEX('Catálogo PCB'!$C$3:$C$102,MATCH(C75,'Catálogo PCB'!$A$3:$A$102,0)),""))</f>
        <v>0</v>
      </c>
      <c r="L75" s="21">
        <f>IF(E75="","",IFERROR(INDEX('Catálogo PCB'!$H$3:$H$102,MATCH(E75,'Catálogo PCB'!$F$3:$F$102,0)),""))</f>
        <v>0</v>
      </c>
    </row>
    <row r="76" spans="1:12" ht="17.7" customHeight="1">
      <c r="A76" s="54"/>
      <c r="B76" s="54" t="str">
        <f>IF(Producción!A61="","",Producción!A61)</f>
        <v>0073</v>
      </c>
      <c r="C76" s="55" t="str">
        <f>IF(Producción!B61="","",Producción!B61)</f>
        <v>TQT-R1-V30-0073</v>
      </c>
      <c r="D76" s="54" t="str">
        <f>IF(Producción!C61="","",Producción!C61)</f>
        <v/>
      </c>
      <c r="E76" s="54" t="str">
        <f>IF(Producción!E61="","",Producción!E61)</f>
        <v>TQT-R2-V30-0073</v>
      </c>
      <c r="F76" s="54" t="str">
        <f>IF(Producción!F61="","",Producción!F61)</f>
        <v/>
      </c>
      <c r="G76" s="55" t="str">
        <f>IF(Producción!I61="","",Producción!I61)</f>
        <v/>
      </c>
      <c r="H76" s="56" t="str">
        <f t="shared" si="1"/>
        <v>TQT-R1-V30-0073
TQT-R2-V30-0073</v>
      </c>
      <c r="I76" s="17"/>
      <c r="J76" s="20"/>
      <c r="K76" s="21">
        <f>IF(C76="","",IFERROR(INDEX('Catálogo PCB'!$C$3:$C$102,MATCH(C76,'Catálogo PCB'!$A$3:$A$102,0)),""))</f>
        <v>0</v>
      </c>
      <c r="L76" s="21">
        <f>IF(E76="","",IFERROR(INDEX('Catálogo PCB'!$H$3:$H$102,MATCH(E76,'Catálogo PCB'!$F$3:$F$102,0)),""))</f>
        <v>0</v>
      </c>
    </row>
    <row r="77" spans="1:12" ht="17.7" customHeight="1">
      <c r="A77" s="54"/>
      <c r="B77" s="54" t="str">
        <f>IF(Producción!A62="","",Producción!A62)</f>
        <v>0074</v>
      </c>
      <c r="C77" s="55" t="str">
        <f>IF(Producción!B62="","",Producción!B62)</f>
        <v>TQT-R1-V30-0074</v>
      </c>
      <c r="D77" s="54" t="str">
        <f>IF(Producción!C62="","",Producción!C62)</f>
        <v/>
      </c>
      <c r="E77" s="54" t="str">
        <f>IF(Producción!E62="","",Producción!E62)</f>
        <v>TQT-R2-V30-0074</v>
      </c>
      <c r="F77" s="54" t="str">
        <f>IF(Producción!F62="","",Producción!F62)</f>
        <v/>
      </c>
      <c r="G77" s="55" t="str">
        <f>IF(Producción!I62="","",Producción!I62)</f>
        <v/>
      </c>
      <c r="H77" s="56" t="str">
        <f t="shared" si="1"/>
        <v>TQT-R1-V30-0074
TQT-R2-V30-0074</v>
      </c>
      <c r="I77" s="17"/>
      <c r="J77" s="20"/>
      <c r="K77" s="21">
        <f>IF(C77="","",IFERROR(INDEX('Catálogo PCB'!$C$3:$C$102,MATCH(C77,'Catálogo PCB'!$A$3:$A$102,0)),""))</f>
        <v>0</v>
      </c>
      <c r="L77" s="21">
        <f>IF(E77="","",IFERROR(INDEX('Catálogo PCB'!$H$3:$H$102,MATCH(E77,'Catálogo PCB'!$F$3:$F$102,0)),""))</f>
        <v>0</v>
      </c>
    </row>
    <row r="78" spans="1:12" ht="17.7" customHeight="1">
      <c r="A78" s="54"/>
      <c r="B78" s="54" t="str">
        <f>IF(Producción!A63="","",Producción!A63)</f>
        <v>0076</v>
      </c>
      <c r="C78" s="55" t="str">
        <f>IF(Producción!B63="","",Producción!B63)</f>
        <v>TQT-R1-V30-0076</v>
      </c>
      <c r="D78" s="54" t="str">
        <f>IF(Producción!C63="","",Producción!C63)</f>
        <v/>
      </c>
      <c r="E78" s="54" t="str">
        <f>IF(Producción!E63="","",Producción!E63)</f>
        <v>TQT-R2-V30-0076</v>
      </c>
      <c r="F78" s="54" t="str">
        <f>IF(Producción!F63="","",Producción!F63)</f>
        <v/>
      </c>
      <c r="G78" s="55" t="str">
        <f>IF(Producción!I63="","",Producción!I63)</f>
        <v/>
      </c>
      <c r="H78" s="56" t="str">
        <f t="shared" si="1"/>
        <v>TQT-R1-V30-0076
TQT-R2-V30-0076</v>
      </c>
      <c r="I78" s="17"/>
      <c r="J78" s="20"/>
      <c r="K78" s="21">
        <f>IF(C78="","",IFERROR(INDEX('Catálogo PCB'!$C$3:$C$102,MATCH(C78,'Catálogo PCB'!$A$3:$A$102,0)),""))</f>
        <v>0</v>
      </c>
      <c r="L78" s="21">
        <f>IF(E78="","",IFERROR(INDEX('Catálogo PCB'!$H$3:$H$102,MATCH(E78,'Catálogo PCB'!$F$3:$F$102,0)),""))</f>
        <v>0</v>
      </c>
    </row>
    <row r="79" spans="1:12" ht="17.7" customHeight="1">
      <c r="A79" s="54"/>
      <c r="B79" s="54" t="str">
        <f>IF(Producción!A64="","",Producción!A64)</f>
        <v>0077</v>
      </c>
      <c r="C79" s="55" t="str">
        <f>IF(Producción!B64="","",Producción!B64)</f>
        <v>TQT-R1-V30-0077</v>
      </c>
      <c r="D79" s="54" t="str">
        <f>IF(Producción!C64="","",Producción!C64)</f>
        <v/>
      </c>
      <c r="E79" s="54" t="str">
        <f>IF(Producción!E64="","",Producción!E64)</f>
        <v>TQT-R2-V30-0077</v>
      </c>
      <c r="F79" s="54" t="str">
        <f>IF(Producción!F64="","",Producción!F64)</f>
        <v/>
      </c>
      <c r="G79" s="55" t="str">
        <f>IF(Producción!I64="","",Producción!I64)</f>
        <v/>
      </c>
      <c r="H79" s="56" t="str">
        <f t="shared" si="1"/>
        <v>TQT-R1-V30-0077
TQT-R2-V30-0077</v>
      </c>
      <c r="I79" s="17"/>
      <c r="J79" s="20"/>
      <c r="K79" s="21">
        <f>IF(C79="","",IFERROR(INDEX('Catálogo PCB'!$C$3:$C$102,MATCH(C79,'Catálogo PCB'!$A$3:$A$102,0)),""))</f>
        <v>0</v>
      </c>
      <c r="L79" s="21">
        <f>IF(E79="","",IFERROR(INDEX('Catálogo PCB'!$H$3:$H$102,MATCH(E79,'Catálogo PCB'!$F$3:$F$102,0)),""))</f>
        <v>0</v>
      </c>
    </row>
    <row r="80" spans="1:12" ht="17.7" customHeight="1">
      <c r="A80" s="54"/>
      <c r="B80" s="54" t="str">
        <f>IF(Producción!A65="","",Producción!A65)</f>
        <v>0079</v>
      </c>
      <c r="C80" s="55" t="str">
        <f>IF(Producción!B65="","",Producción!B65)</f>
        <v>TQT-R1-V30-0079</v>
      </c>
      <c r="D80" s="54" t="str">
        <f>IF(Producción!C65="","",Producción!C65)</f>
        <v/>
      </c>
      <c r="E80" s="54" t="str">
        <f>IF(Producción!E65="","",Producción!E65)</f>
        <v>TQT-R2-V30-0079</v>
      </c>
      <c r="F80" s="54" t="str">
        <f>IF(Producción!F65="","",Producción!F65)</f>
        <v/>
      </c>
      <c r="G80" s="55" t="str">
        <f>IF(Producción!I65="","",Producción!I65)</f>
        <v/>
      </c>
      <c r="H80" s="56" t="str">
        <f t="shared" si="1"/>
        <v>TQT-R1-V30-0079
TQT-R2-V30-0079</v>
      </c>
      <c r="I80" s="17"/>
      <c r="J80" s="20"/>
      <c r="K80" s="21">
        <f>IF(C80="","",IFERROR(INDEX('Catálogo PCB'!$C$3:$C$102,MATCH(C80,'Catálogo PCB'!$A$3:$A$102,0)),""))</f>
        <v>0</v>
      </c>
      <c r="L80" s="21">
        <f>IF(E80="","",IFERROR(INDEX('Catálogo PCB'!$H$3:$H$102,MATCH(E80,'Catálogo PCB'!$F$3:$F$102,0)),""))</f>
        <v>0</v>
      </c>
    </row>
    <row r="81" spans="1:12" ht="17.7" customHeight="1">
      <c r="A81" s="54"/>
      <c r="B81" s="54" t="str">
        <f>IF(Producción!A66="","",Producción!A66)</f>
        <v>0080</v>
      </c>
      <c r="C81" s="55" t="str">
        <f>IF(Producción!B66="","",Producción!B66)</f>
        <v>TQT-R1-V30-0080</v>
      </c>
      <c r="D81" s="54" t="str">
        <f>IF(Producción!C66="","",Producción!C66)</f>
        <v/>
      </c>
      <c r="E81" s="54" t="str">
        <f>IF(Producción!E66="","",Producción!E66)</f>
        <v>TQT-R2-V30-0080</v>
      </c>
      <c r="F81" s="54" t="str">
        <f>IF(Producción!F66="","",Producción!F66)</f>
        <v/>
      </c>
      <c r="G81" s="55" t="str">
        <f>IF(Producción!I66="","",Producción!I66)</f>
        <v/>
      </c>
      <c r="H81" s="56" t="str">
        <f t="shared" ref="H81:H112" si="2">IF(B81="","",C81&amp;IF(D81="","",CHAR(10)&amp;D81)&amp;CHAR(10)&amp;E81&amp;IF(F81="","",CHAR(10)&amp;F81)&amp;IF(G81="","",CHAR(10)&amp;"LOT: "&amp;G81))</f>
        <v>TQT-R1-V30-0080
TQT-R2-V30-0080</v>
      </c>
      <c r="I81" s="17"/>
      <c r="J81" s="20"/>
      <c r="K81" s="21">
        <f>IF(C81="","",IFERROR(INDEX('Catálogo PCB'!$C$3:$C$102,MATCH(C81,'Catálogo PCB'!$A$3:$A$102,0)),""))</f>
        <v>0</v>
      </c>
      <c r="L81" s="21">
        <f>IF(E81="","",IFERROR(INDEX('Catálogo PCB'!$H$3:$H$102,MATCH(E81,'Catálogo PCB'!$F$3:$F$102,0)),""))</f>
        <v>0</v>
      </c>
    </row>
    <row r="82" spans="1:12" ht="17.7" customHeight="1">
      <c r="A82" s="54"/>
      <c r="B82" s="54" t="str">
        <f>IF(Producción!A67="","",Producción!A67)</f>
        <v>0081</v>
      </c>
      <c r="C82" s="55" t="str">
        <f>IF(Producción!B67="","",Producción!B67)</f>
        <v>TQT-R1-V30-0081</v>
      </c>
      <c r="D82" s="54" t="str">
        <f>IF(Producción!C67="","",Producción!C67)</f>
        <v/>
      </c>
      <c r="E82" s="54" t="str">
        <f>IF(Producción!E67="","",Producción!E67)</f>
        <v>TQT-R2-V30-0081</v>
      </c>
      <c r="F82" s="54" t="str">
        <f>IF(Producción!F67="","",Producción!F67)</f>
        <v/>
      </c>
      <c r="G82" s="55" t="str">
        <f>IF(Producción!I67="","",Producción!I67)</f>
        <v/>
      </c>
      <c r="H82" s="56" t="str">
        <f t="shared" si="2"/>
        <v>TQT-R1-V30-0081
TQT-R2-V30-0081</v>
      </c>
      <c r="I82" s="17"/>
      <c r="J82" s="20"/>
      <c r="K82" s="21">
        <f>IF(C82="","",IFERROR(INDEX('Catálogo PCB'!$C$3:$C$102,MATCH(C82,'Catálogo PCB'!$A$3:$A$102,0)),""))</f>
        <v>0</v>
      </c>
      <c r="L82" s="21">
        <f>IF(E82="","",IFERROR(INDEX('Catálogo PCB'!$H$3:$H$102,MATCH(E82,'Catálogo PCB'!$F$3:$F$102,0)),""))</f>
        <v>0</v>
      </c>
    </row>
    <row r="83" spans="1:12" ht="17.7" customHeight="1">
      <c r="A83" s="54"/>
      <c r="B83" s="54" t="str">
        <f>IF(Producción!A68="","",Producción!A68)</f>
        <v>0083</v>
      </c>
      <c r="C83" s="55" t="str">
        <f>IF(Producción!B68="","",Producción!B68)</f>
        <v>TQT-R1-V30-0083</v>
      </c>
      <c r="D83" s="54" t="str">
        <f>IF(Producción!C68="","",Producción!C68)</f>
        <v/>
      </c>
      <c r="E83" s="54" t="str">
        <f>IF(Producción!E68="","",Producción!E68)</f>
        <v>TQT-R2-V30-0083</v>
      </c>
      <c r="F83" s="54" t="str">
        <f>IF(Producción!F68="","",Producción!F68)</f>
        <v/>
      </c>
      <c r="G83" s="55" t="str">
        <f>IF(Producción!I68="","",Producción!I68)</f>
        <v/>
      </c>
      <c r="H83" s="56" t="str">
        <f t="shared" si="2"/>
        <v>TQT-R1-V30-0083
TQT-R2-V30-0083</v>
      </c>
      <c r="I83" s="17"/>
      <c r="J83" s="20"/>
      <c r="K83" s="21">
        <f>IF(C83="","",IFERROR(INDEX('Catálogo PCB'!$C$3:$C$102,MATCH(C83,'Catálogo PCB'!$A$3:$A$102,0)),""))</f>
        <v>0</v>
      </c>
      <c r="L83" s="21">
        <f>IF(E83="","",IFERROR(INDEX('Catálogo PCB'!$H$3:$H$102,MATCH(E83,'Catálogo PCB'!$F$3:$F$102,0)),""))</f>
        <v>0</v>
      </c>
    </row>
    <row r="84" spans="1:12" ht="17.7" customHeight="1">
      <c r="A84" s="54"/>
      <c r="B84" s="54" t="str">
        <f>IF(Producción!A69="","",Producción!A69)</f>
        <v>0084</v>
      </c>
      <c r="C84" s="55" t="str">
        <f>IF(Producción!B69="","",Producción!B69)</f>
        <v>TQT-R1-V30-0084</v>
      </c>
      <c r="D84" s="54" t="str">
        <f>IF(Producción!C69="","",Producción!C69)</f>
        <v/>
      </c>
      <c r="E84" s="54" t="str">
        <f>IF(Producción!E69="","",Producción!E69)</f>
        <v>TQT-R2-V30-0084</v>
      </c>
      <c r="F84" s="54" t="str">
        <f>IF(Producción!F69="","",Producción!F69)</f>
        <v/>
      </c>
      <c r="G84" s="55" t="str">
        <f>IF(Producción!I69="","",Producción!I69)</f>
        <v/>
      </c>
      <c r="H84" s="56" t="str">
        <f t="shared" si="2"/>
        <v>TQT-R1-V30-0084
TQT-R2-V30-0084</v>
      </c>
      <c r="I84" s="17"/>
      <c r="J84" s="20"/>
      <c r="K84" s="21">
        <f>IF(C84="","",IFERROR(INDEX('Catálogo PCB'!$C$3:$C$102,MATCH(C84,'Catálogo PCB'!$A$3:$A$102,0)),""))</f>
        <v>0</v>
      </c>
      <c r="L84" s="21">
        <f>IF(E84="","",IFERROR(INDEX('Catálogo PCB'!$H$3:$H$102,MATCH(E84,'Catálogo PCB'!$F$3:$F$102,0)),""))</f>
        <v>0</v>
      </c>
    </row>
    <row r="85" spans="1:12" ht="17.7" customHeight="1">
      <c r="A85" s="54"/>
      <c r="B85" s="54" t="str">
        <f>IF(Producción!A70="","",Producción!A70)</f>
        <v>0085</v>
      </c>
      <c r="C85" s="55" t="str">
        <f>IF(Producción!B70="","",Producción!B70)</f>
        <v>TQT-R1-V30-0085</v>
      </c>
      <c r="D85" s="54" t="str">
        <f>IF(Producción!C70="","",Producción!C70)</f>
        <v/>
      </c>
      <c r="E85" s="54" t="str">
        <f>IF(Producción!E70="","",Producción!E70)</f>
        <v>TQT-R2-V30-0085</v>
      </c>
      <c r="F85" s="54" t="str">
        <f>IF(Producción!F70="","",Producción!F70)</f>
        <v/>
      </c>
      <c r="G85" s="55" t="str">
        <f>IF(Producción!I70="","",Producción!I70)</f>
        <v/>
      </c>
      <c r="H85" s="56" t="str">
        <f t="shared" si="2"/>
        <v>TQT-R1-V30-0085
TQT-R2-V30-0085</v>
      </c>
      <c r="I85" s="17"/>
      <c r="J85" s="20"/>
      <c r="K85" s="21">
        <f>IF(C85="","",IFERROR(INDEX('Catálogo PCB'!$C$3:$C$102,MATCH(C85,'Catálogo PCB'!$A$3:$A$102,0)),""))</f>
        <v>0</v>
      </c>
      <c r="L85" s="21">
        <f>IF(E85="","",IFERROR(INDEX('Catálogo PCB'!$H$3:$H$102,MATCH(E85,'Catálogo PCB'!$F$3:$F$102,0)),""))</f>
        <v>0</v>
      </c>
    </row>
    <row r="86" spans="1:12" ht="17.7" customHeight="1">
      <c r="A86" s="54"/>
      <c r="B86" s="54" t="str">
        <f>IF(Producción!A71="","",Producción!A71)</f>
        <v>0086</v>
      </c>
      <c r="C86" s="55" t="str">
        <f>IF(Producción!B71="","",Producción!B71)</f>
        <v>TQT-R1-V30-0086</v>
      </c>
      <c r="D86" s="54" t="str">
        <f>IF(Producción!C71="","",Producción!C71)</f>
        <v/>
      </c>
      <c r="E86" s="54" t="str">
        <f>IF(Producción!E71="","",Producción!E71)</f>
        <v>TQT-R2-V30-0086</v>
      </c>
      <c r="F86" s="54" t="str">
        <f>IF(Producción!F71="","",Producción!F71)</f>
        <v/>
      </c>
      <c r="G86" s="55" t="str">
        <f>IF(Producción!I71="","",Producción!I71)</f>
        <v/>
      </c>
      <c r="H86" s="56" t="str">
        <f t="shared" si="2"/>
        <v>TQT-R1-V30-0086
TQT-R2-V30-0086</v>
      </c>
      <c r="I86" s="17"/>
      <c r="J86" s="20"/>
      <c r="K86" s="21">
        <f>IF(C86="","",IFERROR(INDEX('Catálogo PCB'!$C$3:$C$102,MATCH(C86,'Catálogo PCB'!$A$3:$A$102,0)),""))</f>
        <v>0</v>
      </c>
      <c r="L86" s="21">
        <f>IF(E86="","",IFERROR(INDEX('Catálogo PCB'!$H$3:$H$102,MATCH(E86,'Catálogo PCB'!$F$3:$F$102,0)),""))</f>
        <v>0</v>
      </c>
    </row>
    <row r="87" spans="1:12" ht="17.7" customHeight="1">
      <c r="A87" s="54"/>
      <c r="B87" s="54" t="str">
        <f>IF(Producción!A72="","",Producción!A72)</f>
        <v>0087</v>
      </c>
      <c r="C87" s="55" t="str">
        <f>IF(Producción!B72="","",Producción!B72)</f>
        <v>TQT-R1-V30-0087</v>
      </c>
      <c r="D87" s="54" t="str">
        <f>IF(Producción!C72="","",Producción!C72)</f>
        <v/>
      </c>
      <c r="E87" s="54" t="str">
        <f>IF(Producción!E72="","",Producción!E72)</f>
        <v>TQT-R2-V30-0087</v>
      </c>
      <c r="F87" s="54" t="str">
        <f>IF(Producción!F72="","",Producción!F72)</f>
        <v/>
      </c>
      <c r="G87" s="55" t="str">
        <f>IF(Producción!I72="","",Producción!I72)</f>
        <v/>
      </c>
      <c r="H87" s="56" t="str">
        <f t="shared" si="2"/>
        <v>TQT-R1-V30-0087
TQT-R2-V30-0087</v>
      </c>
      <c r="I87" s="17"/>
      <c r="J87" s="20"/>
      <c r="K87" s="21">
        <f>IF(C87="","",IFERROR(INDEX('Catálogo PCB'!$C$3:$C$102,MATCH(C87,'Catálogo PCB'!$A$3:$A$102,0)),""))</f>
        <v>0</v>
      </c>
      <c r="L87" s="21">
        <f>IF(E87="","",IFERROR(INDEX('Catálogo PCB'!$H$3:$H$102,MATCH(E87,'Catálogo PCB'!$F$3:$F$102,0)),""))</f>
        <v>0</v>
      </c>
    </row>
    <row r="88" spans="1:12" ht="17.7" customHeight="1">
      <c r="A88" s="54"/>
      <c r="B88" s="54" t="str">
        <f>IF(Producción!A73="","",Producción!A73)</f>
        <v>0089</v>
      </c>
      <c r="C88" s="55" t="str">
        <f>IF(Producción!B73="","",Producción!B73)</f>
        <v>TQT-R1-V30-0089</v>
      </c>
      <c r="D88" s="54" t="str">
        <f>IF(Producción!C73="","",Producción!C73)</f>
        <v/>
      </c>
      <c r="E88" s="54" t="str">
        <f>IF(Producción!E73="","",Producción!E73)</f>
        <v>TQT-R2-V30-0089</v>
      </c>
      <c r="F88" s="54" t="str">
        <f>IF(Producción!F73="","",Producción!F73)</f>
        <v/>
      </c>
      <c r="G88" s="55" t="str">
        <f>IF(Producción!I73="","",Producción!I73)</f>
        <v/>
      </c>
      <c r="H88" s="56" t="str">
        <f t="shared" si="2"/>
        <v>TQT-R1-V30-0089
TQT-R2-V30-0089</v>
      </c>
      <c r="I88" s="17"/>
      <c r="J88" s="20"/>
      <c r="K88" s="21">
        <f>IF(C88="","",IFERROR(INDEX('Catálogo PCB'!$C$3:$C$102,MATCH(C88,'Catálogo PCB'!$A$3:$A$102,0)),""))</f>
        <v>0</v>
      </c>
      <c r="L88" s="21">
        <f>IF(E88="","",IFERROR(INDEX('Catálogo PCB'!$H$3:$H$102,MATCH(E88,'Catálogo PCB'!$F$3:$F$102,0)),""))</f>
        <v>0</v>
      </c>
    </row>
    <row r="89" spans="1:12" ht="17.7" customHeight="1">
      <c r="A89" s="54"/>
      <c r="B89" s="54" t="str">
        <f>IF(Producción!A74="","",Producción!A74)</f>
        <v>0092</v>
      </c>
      <c r="C89" s="55" t="str">
        <f>IF(Producción!B74="","",Producción!B74)</f>
        <v>TQT-R1-V30-0092</v>
      </c>
      <c r="D89" s="54" t="str">
        <f>IF(Producción!C74="","",Producción!C74)</f>
        <v/>
      </c>
      <c r="E89" s="54" t="str">
        <f>IF(Producción!E74="","",Producción!E74)</f>
        <v>TQT-R2-V30-0092</v>
      </c>
      <c r="F89" s="54" t="str">
        <f>IF(Producción!F74="","",Producción!F74)</f>
        <v/>
      </c>
      <c r="G89" s="55" t="str">
        <f>IF(Producción!I74="","",Producción!I74)</f>
        <v/>
      </c>
      <c r="H89" s="56" t="str">
        <f t="shared" si="2"/>
        <v>TQT-R1-V30-0092
TQT-R2-V30-0092</v>
      </c>
      <c r="I89" s="17"/>
      <c r="J89" s="20"/>
      <c r="K89" s="21">
        <f>IF(C89="","",IFERROR(INDEX('Catálogo PCB'!$C$3:$C$102,MATCH(C89,'Catálogo PCB'!$A$3:$A$102,0)),""))</f>
        <v>0</v>
      </c>
      <c r="L89" s="21">
        <f>IF(E89="","",IFERROR(INDEX('Catálogo PCB'!$H$3:$H$102,MATCH(E89,'Catálogo PCB'!$F$3:$F$102,0)),""))</f>
        <v>0</v>
      </c>
    </row>
    <row r="90" spans="1:12" ht="17.7" customHeight="1">
      <c r="A90" s="54"/>
      <c r="B90" s="54" t="str">
        <f>IF(Producción!A75="","",Producción!A75)</f>
        <v>0093</v>
      </c>
      <c r="C90" s="55" t="str">
        <f>IF(Producción!B75="","",Producción!B75)</f>
        <v>TQT-R1-V30-0093</v>
      </c>
      <c r="D90" s="54" t="str">
        <f>IF(Producción!C75="","",Producción!C75)</f>
        <v/>
      </c>
      <c r="E90" s="54" t="str">
        <f>IF(Producción!E75="","",Producción!E75)</f>
        <v>TQT-R2-V30-0093</v>
      </c>
      <c r="F90" s="54" t="str">
        <f>IF(Producción!F75="","",Producción!F75)</f>
        <v/>
      </c>
      <c r="G90" s="55" t="str">
        <f>IF(Producción!I75="","",Producción!I75)</f>
        <v/>
      </c>
      <c r="H90" s="56" t="str">
        <f t="shared" si="2"/>
        <v>TQT-R1-V30-0093
TQT-R2-V30-0093</v>
      </c>
      <c r="I90" s="17"/>
      <c r="J90" s="20"/>
      <c r="K90" s="21">
        <f>IF(C90="","",IFERROR(INDEX('Catálogo PCB'!$C$3:$C$102,MATCH(C90,'Catálogo PCB'!$A$3:$A$102,0)),""))</f>
        <v>0</v>
      </c>
      <c r="L90" s="21">
        <f>IF(E90="","",IFERROR(INDEX('Catálogo PCB'!$H$3:$H$102,MATCH(E90,'Catálogo PCB'!$F$3:$F$102,0)),""))</f>
        <v>0</v>
      </c>
    </row>
    <row r="91" spans="1:12" ht="17.7" customHeight="1">
      <c r="A91" s="54"/>
      <c r="B91" s="54" t="str">
        <f>IF(Producción!A76="","",Producción!A76)</f>
        <v>0094</v>
      </c>
      <c r="C91" s="55" t="str">
        <f>IF(Producción!B76="","",Producción!B76)</f>
        <v>TQT-R1-V30-0094</v>
      </c>
      <c r="D91" s="54" t="str">
        <f>IF(Producción!C76="","",Producción!C76)</f>
        <v/>
      </c>
      <c r="E91" s="54" t="str">
        <f>IF(Producción!E76="","",Producción!E76)</f>
        <v>TQT-R2-V30-0094</v>
      </c>
      <c r="F91" s="54" t="str">
        <f>IF(Producción!F76="","",Producción!F76)</f>
        <v/>
      </c>
      <c r="G91" s="55" t="str">
        <f>IF(Producción!I76="","",Producción!I76)</f>
        <v/>
      </c>
      <c r="H91" s="56" t="str">
        <f t="shared" si="2"/>
        <v>TQT-R1-V30-0094
TQT-R2-V30-0094</v>
      </c>
      <c r="I91" s="17"/>
      <c r="J91" s="20"/>
      <c r="K91" s="21">
        <f>IF(C91="","",IFERROR(INDEX('Catálogo PCB'!$C$3:$C$102,MATCH(C91,'Catálogo PCB'!$A$3:$A$102,0)),""))</f>
        <v>0</v>
      </c>
      <c r="L91" s="21">
        <f>IF(E91="","",IFERROR(INDEX('Catálogo PCB'!$H$3:$H$102,MATCH(E91,'Catálogo PCB'!$F$3:$F$102,0)),""))</f>
        <v>0</v>
      </c>
    </row>
    <row r="92" spans="1:12" ht="17.7" customHeight="1">
      <c r="A92" s="54"/>
      <c r="B92" s="54" t="str">
        <f>IF(Producción!A77="","",Producción!A77)</f>
        <v>0098</v>
      </c>
      <c r="C92" s="55" t="str">
        <f>IF(Producción!B77="","",Producción!B77)</f>
        <v>TQT-R1-V30-0098</v>
      </c>
      <c r="D92" s="54" t="str">
        <f>IF(Producción!C77="","",Producción!C77)</f>
        <v/>
      </c>
      <c r="E92" s="54" t="str">
        <f>IF(Producción!E77="","",Producción!E77)</f>
        <v>TQT-R2-V30-0098</v>
      </c>
      <c r="F92" s="54" t="str">
        <f>IF(Producción!F77="","",Producción!F77)</f>
        <v/>
      </c>
      <c r="G92" s="55" t="str">
        <f>IF(Producción!I77="","",Producción!I77)</f>
        <v/>
      </c>
      <c r="H92" s="56" t="str">
        <f t="shared" si="2"/>
        <v>TQT-R1-V30-0098
TQT-R2-V30-0098</v>
      </c>
      <c r="I92" s="17"/>
      <c r="J92" s="20"/>
      <c r="K92" s="21">
        <f>IF(C92="","",IFERROR(INDEX('Catálogo PCB'!$C$3:$C$102,MATCH(C92,'Catálogo PCB'!$A$3:$A$102,0)),""))</f>
        <v>0</v>
      </c>
      <c r="L92" s="21">
        <f>IF(E92="","",IFERROR(INDEX('Catálogo PCB'!$H$3:$H$102,MATCH(E92,'Catálogo PCB'!$F$3:$F$102,0)),""))</f>
        <v>0</v>
      </c>
    </row>
    <row r="93" spans="1:12" ht="17.7" customHeight="1">
      <c r="A93" s="54"/>
      <c r="B93" s="54" t="str">
        <f>IF(Producción!A78="","",Producción!A78)</f>
        <v>0099</v>
      </c>
      <c r="C93" s="55" t="str">
        <f>IF(Producción!B78="","",Producción!B78)</f>
        <v>TQT-R1-V30-0099</v>
      </c>
      <c r="D93" s="54" t="str">
        <f>IF(Producción!C78="","",Producción!C78)</f>
        <v/>
      </c>
      <c r="E93" s="54" t="str">
        <f>IF(Producción!E78="","",Producción!E78)</f>
        <v>TQT-R2-V30-0099</v>
      </c>
      <c r="F93" s="54" t="str">
        <f>IF(Producción!F78="","",Producción!F78)</f>
        <v/>
      </c>
      <c r="G93" s="55" t="str">
        <f>IF(Producción!I78="","",Producción!I78)</f>
        <v/>
      </c>
      <c r="H93" s="56" t="str">
        <f t="shared" si="2"/>
        <v>TQT-R1-V30-0099
TQT-R2-V30-0099</v>
      </c>
      <c r="I93" s="17"/>
      <c r="J93" s="20"/>
      <c r="K93" s="21">
        <f>IF(C93="","",IFERROR(INDEX('Catálogo PCB'!$C$3:$C$102,MATCH(C93,'Catálogo PCB'!$A$3:$A$102,0)),""))</f>
        <v>0</v>
      </c>
      <c r="L93" s="21">
        <f>IF(E93="","",IFERROR(INDEX('Catálogo PCB'!$H$3:$H$102,MATCH(E93,'Catálogo PCB'!$F$3:$F$102,0)),""))</f>
        <v>0</v>
      </c>
    </row>
    <row r="94" spans="1:12" ht="17.7" customHeight="1">
      <c r="A94" s="54"/>
      <c r="B94" s="54" t="str">
        <f>IF(Producción!A79="","",Producción!A79)</f>
        <v>0100</v>
      </c>
      <c r="C94" s="55" t="str">
        <f>IF(Producción!B79="","",Producción!B79)</f>
        <v>TQT-R1-V30-0100</v>
      </c>
      <c r="D94" s="54" t="str">
        <f>IF(Producción!C79="","",Producción!C79)</f>
        <v/>
      </c>
      <c r="E94" s="54" t="str">
        <f>IF(Producción!E79="","",Producción!E79)</f>
        <v>TQT-R2-V30-0100</v>
      </c>
      <c r="F94" s="54" t="str">
        <f>IF(Producción!F79="","",Producción!F79)</f>
        <v/>
      </c>
      <c r="G94" s="55" t="str">
        <f>IF(Producción!I79="","",Producción!I79)</f>
        <v/>
      </c>
      <c r="H94" s="56" t="str">
        <f t="shared" si="2"/>
        <v>TQT-R1-V30-0100
TQT-R2-V30-0100</v>
      </c>
      <c r="I94" s="17"/>
      <c r="J94" s="20"/>
      <c r="K94" s="21">
        <f>IF(C94="","",IFERROR(INDEX('Catálogo PCB'!$C$3:$C$102,MATCH(C94,'Catálogo PCB'!$A$3:$A$102,0)),""))</f>
        <v>0</v>
      </c>
      <c r="L94" s="21">
        <f>IF(E94="","",IFERROR(INDEX('Catálogo PCB'!$H$3:$H$102,MATCH(E94,'Catálogo PCB'!$F$3:$F$102,0)),""))</f>
        <v>0</v>
      </c>
    </row>
    <row r="95" spans="1:12" ht="17.7" customHeight="1">
      <c r="A95" s="54"/>
      <c r="B95" s="54" t="str">
        <f>IF(Producción!A80="","",Producción!A80)</f>
        <v>0101</v>
      </c>
      <c r="C95" s="55" t="str">
        <f>IF(Producción!B80="","",Producción!B80)</f>
        <v>TQT-R1-V30-0101</v>
      </c>
      <c r="D95" s="54" t="str">
        <f>IF(Producción!C80="","",Producción!C80)</f>
        <v/>
      </c>
      <c r="E95" s="54" t="str">
        <f>IF(Producción!E80="","",Producción!E80)</f>
        <v>TQT-R2-V30-0101</v>
      </c>
      <c r="F95" s="54" t="str">
        <f>IF(Producción!F80="","",Producción!F80)</f>
        <v/>
      </c>
      <c r="G95" s="55" t="str">
        <f>IF(Producción!I80="","",Producción!I80)</f>
        <v/>
      </c>
      <c r="H95" s="56" t="str">
        <f t="shared" si="2"/>
        <v>TQT-R1-V30-0101
TQT-R2-V30-0101</v>
      </c>
      <c r="I95" s="17"/>
      <c r="J95" s="20"/>
      <c r="K95" s="21">
        <f>IF(C95="","",IFERROR(INDEX('Catálogo PCB'!$C$3:$C$102,MATCH(C95,'Catálogo PCB'!$A$3:$A$102,0)),""))</f>
        <v>0</v>
      </c>
      <c r="L95" s="21">
        <f>IF(E95="","",IFERROR(INDEX('Catálogo PCB'!$H$3:$H$102,MATCH(E95,'Catálogo PCB'!$F$3:$F$102,0)),""))</f>
        <v>0</v>
      </c>
    </row>
    <row r="96" spans="1:12" ht="17.7" customHeight="1">
      <c r="A96" s="54"/>
      <c r="B96" s="54" t="str">
        <f>IF(Producción!A81="","",Producción!A81)</f>
        <v>0103</v>
      </c>
      <c r="C96" s="55" t="str">
        <f>IF(Producción!B81="","",Producción!B81)</f>
        <v>TQT-R1-V30-0103</v>
      </c>
      <c r="D96" s="54" t="str">
        <f>IF(Producción!C81="","",Producción!C81)</f>
        <v/>
      </c>
      <c r="E96" s="54" t="str">
        <f>IF(Producción!E81="","",Producción!E81)</f>
        <v>TQT-R2-V30-0103</v>
      </c>
      <c r="F96" s="54" t="str">
        <f>IF(Producción!F81="","",Producción!F81)</f>
        <v/>
      </c>
      <c r="G96" s="55" t="str">
        <f>IF(Producción!I81="","",Producción!I81)</f>
        <v/>
      </c>
      <c r="H96" s="56" t="str">
        <f t="shared" si="2"/>
        <v>TQT-R1-V30-0103
TQT-R2-V30-0103</v>
      </c>
      <c r="I96" s="17"/>
      <c r="J96" s="20"/>
      <c r="K96" s="21">
        <f>IF(C96="","",IFERROR(INDEX('Catálogo PCB'!$C$3:$C$102,MATCH(C96,'Catálogo PCB'!$A$3:$A$102,0)),""))</f>
        <v>0</v>
      </c>
      <c r="L96" s="21">
        <f>IF(E96="","",IFERROR(INDEX('Catálogo PCB'!$H$3:$H$102,MATCH(E96,'Catálogo PCB'!$F$3:$F$102,0)),""))</f>
        <v>0</v>
      </c>
    </row>
    <row r="97" spans="1:12" ht="17.7" customHeight="1">
      <c r="A97" s="54"/>
      <c r="B97" s="54" t="str">
        <f>IF(Producción!A82="","",Producción!A82)</f>
        <v>0104</v>
      </c>
      <c r="C97" s="55" t="str">
        <f>IF(Producción!B82="","",Producción!B82)</f>
        <v>TQT-R1-V30-0104</v>
      </c>
      <c r="D97" s="54" t="str">
        <f>IF(Producción!C82="","",Producción!C82)</f>
        <v/>
      </c>
      <c r="E97" s="54" t="str">
        <f>IF(Producción!E82="","",Producción!E82)</f>
        <v>TQT-R2-V30-0104</v>
      </c>
      <c r="F97" s="54" t="str">
        <f>IF(Producción!F82="","",Producción!F82)</f>
        <v/>
      </c>
      <c r="G97" s="55" t="str">
        <f>IF(Producción!I82="","",Producción!I82)</f>
        <v/>
      </c>
      <c r="H97" s="56" t="str">
        <f t="shared" si="2"/>
        <v>TQT-R1-V30-0104
TQT-R2-V30-0104</v>
      </c>
      <c r="I97" s="17"/>
      <c r="J97" s="20"/>
      <c r="K97" s="21">
        <f>IF(C97="","",IFERROR(INDEX('Catálogo PCB'!$C$3:$C$102,MATCH(C97,'Catálogo PCB'!$A$3:$A$102,0)),""))</f>
        <v>0</v>
      </c>
      <c r="L97" s="21">
        <f>IF(E97="","",IFERROR(INDEX('Catálogo PCB'!$H$3:$H$102,MATCH(E97,'Catálogo PCB'!$F$3:$F$102,0)),""))</f>
        <v>0</v>
      </c>
    </row>
    <row r="98" spans="1:12" ht="17.7" customHeight="1">
      <c r="A98" s="54"/>
      <c r="B98" s="54" t="str">
        <f>IF(Producción!A83="","",Producción!A83)</f>
        <v>0105</v>
      </c>
      <c r="C98" s="55" t="str">
        <f>IF(Producción!B83="","",Producción!B83)</f>
        <v>TQT-R1-V30-0105</v>
      </c>
      <c r="D98" s="54" t="str">
        <f>IF(Producción!C83="","",Producción!C83)</f>
        <v/>
      </c>
      <c r="E98" s="54" t="str">
        <f>IF(Producción!E83="","",Producción!E83)</f>
        <v>TQT-R2-V30-0105</v>
      </c>
      <c r="F98" s="54" t="str">
        <f>IF(Producción!F83="","",Producción!F83)</f>
        <v/>
      </c>
      <c r="G98" s="55" t="str">
        <f>IF(Producción!I83="","",Producción!I83)</f>
        <v/>
      </c>
      <c r="H98" s="56" t="str">
        <f t="shared" si="2"/>
        <v>TQT-R1-V30-0105
TQT-R2-V30-0105</v>
      </c>
      <c r="I98" s="17"/>
      <c r="J98" s="20"/>
      <c r="K98" s="21">
        <f>IF(C98="","",IFERROR(INDEX('Catálogo PCB'!$C$3:$C$102,MATCH(C98,'Catálogo PCB'!$A$3:$A$102,0)),""))</f>
        <v>0</v>
      </c>
      <c r="L98" s="21">
        <f>IF(E98="","",IFERROR(INDEX('Catálogo PCB'!$H$3:$H$102,MATCH(E98,'Catálogo PCB'!$F$3:$F$102,0)),""))</f>
        <v>0</v>
      </c>
    </row>
    <row r="99" spans="1:12" ht="17.7" customHeight="1">
      <c r="A99" s="54"/>
      <c r="B99" s="54" t="str">
        <f>IF(Producción!A84="","",Producción!A84)</f>
        <v>0117</v>
      </c>
      <c r="C99" s="55" t="str">
        <f>IF(Producción!B84="","",Producción!B84)</f>
        <v>TQT-R1-V30-0117</v>
      </c>
      <c r="D99" s="54" t="str">
        <f>IF(Producción!C84="","",Producción!C84)</f>
        <v/>
      </c>
      <c r="E99" s="54" t="str">
        <f>IF(Producción!E84="","",Producción!E84)</f>
        <v>TQT-R2-V30-0117</v>
      </c>
      <c r="F99" s="54" t="str">
        <f>IF(Producción!F84="","",Producción!F84)</f>
        <v/>
      </c>
      <c r="G99" s="55" t="str">
        <f>IF(Producción!I84="","",Producción!I84)</f>
        <v/>
      </c>
      <c r="H99" s="56" t="str">
        <f t="shared" si="2"/>
        <v>TQT-R1-V30-0117
TQT-R2-V30-0117</v>
      </c>
      <c r="I99" s="17"/>
      <c r="J99" s="20"/>
      <c r="K99" s="21">
        <f>IF(C99="","",IFERROR(INDEX('Catálogo PCB'!$C$3:$C$102,MATCH(C99,'Catálogo PCB'!$A$3:$A$102,0)),""))</f>
        <v>0</v>
      </c>
      <c r="L99" s="21">
        <f>IF(E99="","",IFERROR(INDEX('Catálogo PCB'!$H$3:$H$102,MATCH(E99,'Catálogo PCB'!$F$3:$F$102,0)),""))</f>
        <v>0</v>
      </c>
    </row>
    <row r="100" spans="1:12" ht="17.7" customHeight="1">
      <c r="A100" s="54"/>
      <c r="B100" s="54" t="str">
        <f>IF(Producción!A85="","",Producción!A85)</f>
        <v>0118</v>
      </c>
      <c r="C100" s="55" t="str">
        <f>IF(Producción!B85="","",Producción!B85)</f>
        <v>TQT-R1-V30-0118</v>
      </c>
      <c r="D100" s="54" t="str">
        <f>IF(Producción!C85="","",Producción!C85)</f>
        <v/>
      </c>
      <c r="E100" s="54" t="str">
        <f>IF(Producción!E85="","",Producción!E85)</f>
        <v>TQT-R2-V30-0118</v>
      </c>
      <c r="F100" s="54" t="str">
        <f>IF(Producción!F85="","",Producción!F85)</f>
        <v/>
      </c>
      <c r="G100" s="55" t="str">
        <f>IF(Producción!I85="","",Producción!I85)</f>
        <v/>
      </c>
      <c r="H100" s="56" t="str">
        <f t="shared" si="2"/>
        <v>TQT-R1-V30-0118
TQT-R2-V30-0118</v>
      </c>
      <c r="I100" s="17"/>
      <c r="J100" s="20"/>
      <c r="K100" s="21">
        <f>IF(C100="","",IFERROR(INDEX('Catálogo PCB'!$C$3:$C$102,MATCH(C100,'Catálogo PCB'!$A$3:$A$102,0)),""))</f>
        <v>0</v>
      </c>
      <c r="L100" s="21">
        <f>IF(E100="","",IFERROR(INDEX('Catálogo PCB'!$H$3:$H$102,MATCH(E100,'Catálogo PCB'!$F$3:$F$102,0)),""))</f>
        <v>0</v>
      </c>
    </row>
    <row r="101" spans="1:12" ht="17.7" customHeight="1">
      <c r="A101" s="54"/>
      <c r="B101" s="54" t="str">
        <f>IF(Producción!A86="","",Producción!A86)</f>
        <v>0018</v>
      </c>
      <c r="C101" s="55" t="str">
        <f>IF(Producción!B86="","",Producción!B86)</f>
        <v>TQT-R1-V30-0018</v>
      </c>
      <c r="D101" s="54" t="str">
        <f>IF(Producción!C86="","",Producción!C86)</f>
        <v/>
      </c>
      <c r="E101" s="54" t="str">
        <f>IF(Producción!E86="","",Producción!E86)</f>
        <v>TQT-R2-V30-0075</v>
      </c>
      <c r="F101" s="54" t="str">
        <f>IF(Producción!F86="","",Producción!F86)</f>
        <v/>
      </c>
      <c r="G101" s="55" t="str">
        <f>IF(Producción!I86="","",Producción!I86)</f>
        <v/>
      </c>
      <c r="H101" s="56" t="str">
        <f t="shared" si="2"/>
        <v>TQT-R1-V30-0018
TQT-R2-V30-0075</v>
      </c>
      <c r="I101" s="17"/>
      <c r="J101" s="20"/>
      <c r="K101" s="21">
        <f>IF(C101="","",IFERROR(INDEX('Catálogo PCB'!$C$3:$C$102,MATCH(C101,'Catálogo PCB'!$A$3:$A$102,0)),""))</f>
        <v>0</v>
      </c>
      <c r="L101" s="21">
        <f>IF(E101="","",IFERROR(INDEX('Catálogo PCB'!$H$3:$H$102,MATCH(E101,'Catálogo PCB'!$F$3:$F$102,0)),""))</f>
        <v>0</v>
      </c>
    </row>
    <row r="102" spans="1:12" ht="17.7" customHeight="1">
      <c r="A102" s="54"/>
      <c r="B102" s="54" t="str">
        <f>IF(Producción!A87="","",Producción!A87)</f>
        <v>0036</v>
      </c>
      <c r="C102" s="55" t="str">
        <f>IF(Producción!B87="","",Producción!B87)</f>
        <v>TQT-R1-V30-0036</v>
      </c>
      <c r="D102" s="54" t="str">
        <f>IF(Producción!C87="","",Producción!C87)</f>
        <v/>
      </c>
      <c r="E102" s="54" t="str">
        <f>IF(Producción!E87="","",Producción!E87)</f>
        <v>TQT-R2-V30-0078</v>
      </c>
      <c r="F102" s="54" t="str">
        <f>IF(Producción!F87="","",Producción!F87)</f>
        <v/>
      </c>
      <c r="G102" s="55" t="str">
        <f>IF(Producción!I87="","",Producción!I87)</f>
        <v/>
      </c>
      <c r="H102" s="57" t="str">
        <f t="shared" si="2"/>
        <v>TQT-R1-V30-0036
TQT-R2-V30-0078</v>
      </c>
      <c r="I102" s="17"/>
      <c r="J102" s="20"/>
      <c r="K102" s="21">
        <f>IF(C102="","",IFERROR(INDEX('Catálogo PCB'!$C$3:$C$102,MATCH(C102,'Catálogo PCB'!$A$3:$A$102,0)),""))</f>
        <v>0</v>
      </c>
      <c r="L102" s="21">
        <f>IF(E102="","",IFERROR(INDEX('Catálogo PCB'!$H$3:$H$102,MATCH(E102,'Catálogo PCB'!$F$3:$F$102,0)),""))</f>
        <v>0</v>
      </c>
    </row>
    <row r="103" spans="1:12" ht="17.7" customHeight="1">
      <c r="A103" s="54"/>
      <c r="B103" s="54" t="str">
        <f>IF(Producción!A88="","",Producción!A88)</f>
        <v>0038</v>
      </c>
      <c r="C103" s="55" t="str">
        <f>IF(Producción!B88="","",Producción!B88)</f>
        <v>TQT-R1-V30-0038</v>
      </c>
      <c r="D103" s="54" t="str">
        <f>IF(Producción!C88="","",Producción!C88)</f>
        <v/>
      </c>
      <c r="E103" s="54" t="str">
        <f>IF(Producción!E88="","",Producción!E88)</f>
        <v>TQT-R2-V30-0082</v>
      </c>
      <c r="F103" s="54" t="str">
        <f>IF(Producción!F88="","",Producción!F88)</f>
        <v/>
      </c>
      <c r="G103" s="55" t="str">
        <f>IF(Producción!I88="","",Producción!I88)</f>
        <v/>
      </c>
      <c r="H103" s="57" t="str">
        <f t="shared" si="2"/>
        <v>TQT-R1-V30-0038
TQT-R2-V30-0082</v>
      </c>
      <c r="I103" s="17"/>
      <c r="J103" s="20"/>
      <c r="K103" s="21">
        <f>IF(C103="","",IFERROR(INDEX('Catálogo PCB'!$C$3:$C$102,MATCH(C103,'Catálogo PCB'!$A$3:$A$102,0)),""))</f>
        <v>0</v>
      </c>
      <c r="L103" s="21">
        <f>IF(E103="","",IFERROR(INDEX('Catálogo PCB'!$H$3:$H$102,MATCH(E103,'Catálogo PCB'!$F$3:$F$102,0)),""))</f>
        <v>0</v>
      </c>
    </row>
    <row r="104" spans="1:12" ht="17.7" customHeight="1">
      <c r="A104" s="54"/>
      <c r="B104" s="54" t="str">
        <f>IF(Producción!A89="","",Producción!A89)</f>
        <v>0107</v>
      </c>
      <c r="C104" s="55" t="str">
        <f>IF(Producción!B89="","",Producción!B89)</f>
        <v>TQT-R1-V30-0107</v>
      </c>
      <c r="D104" s="54" t="str">
        <f>IF(Producción!C89="","",Producción!C89)</f>
        <v/>
      </c>
      <c r="E104" s="54" t="str">
        <f>IF(Producción!E89="","",Producción!E89)</f>
        <v>TQT-R2-V30-0088</v>
      </c>
      <c r="F104" s="54" t="str">
        <f>IF(Producción!F89="","",Producción!F89)</f>
        <v/>
      </c>
      <c r="G104" s="55" t="str">
        <f>IF(Producción!I89="","",Producción!I89)</f>
        <v/>
      </c>
      <c r="H104" s="57" t="str">
        <f t="shared" si="2"/>
        <v>TQT-R1-V30-0107
TQT-R2-V30-0088</v>
      </c>
      <c r="I104" s="17"/>
      <c r="J104" s="20"/>
      <c r="K104" s="21">
        <f>IF(C104="","",IFERROR(INDEX('Catálogo PCB'!$C$3:$C$102,MATCH(C104,'Catálogo PCB'!$A$3:$A$102,0)),""))</f>
        <v>0</v>
      </c>
      <c r="L104" s="21">
        <f>IF(E104="","",IFERROR(INDEX('Catálogo PCB'!$H$3:$H$102,MATCH(E104,'Catálogo PCB'!$F$3:$F$102,0)),""))</f>
        <v>0</v>
      </c>
    </row>
    <row r="105" spans="1:12" ht="17.7" customHeight="1">
      <c r="A105" s="54"/>
      <c r="B105" s="54" t="str">
        <f>IF(Producción!A90="","",Producción!A90)</f>
        <v>0112</v>
      </c>
      <c r="C105" s="55" t="str">
        <f>IF(Producción!B90="","",Producción!B90)</f>
        <v>TQT-R1-V30-0112</v>
      </c>
      <c r="D105" s="54" t="str">
        <f>IF(Producción!C90="","",Producción!C90)</f>
        <v/>
      </c>
      <c r="E105" s="54" t="str">
        <f>IF(Producción!E90="","",Producción!E90)</f>
        <v>TQT-R2-V30-0090</v>
      </c>
      <c r="F105" s="54" t="str">
        <f>IF(Producción!F90="","",Producción!F90)</f>
        <v/>
      </c>
      <c r="G105" s="55" t="str">
        <f>IF(Producción!I90="","",Producción!I90)</f>
        <v/>
      </c>
      <c r="H105" s="57" t="str">
        <f t="shared" si="2"/>
        <v>TQT-R1-V30-0112
TQT-R2-V30-0090</v>
      </c>
      <c r="I105" s="17"/>
      <c r="J105" s="20"/>
      <c r="K105" s="21">
        <f>IF(C105="","",IFERROR(INDEX('Catálogo PCB'!$C$3:$C$102,MATCH(C105,'Catálogo PCB'!$A$3:$A$102,0)),""))</f>
        <v>0</v>
      </c>
      <c r="L105" s="21">
        <f>IF(E105="","",IFERROR(INDEX('Catálogo PCB'!$H$3:$H$102,MATCH(E105,'Catálogo PCB'!$F$3:$F$102,0)),""))</f>
        <v>0</v>
      </c>
    </row>
    <row r="106" spans="1:12" ht="17.7" customHeight="1">
      <c r="A106" s="54"/>
      <c r="B106" s="54" t="str">
        <f>IF(Producción!A91="","",Producción!A91)</f>
        <v>0113</v>
      </c>
      <c r="C106" s="55" t="str">
        <f>IF(Producción!B91="","",Producción!B91)</f>
        <v>TQT-R1-V30-0113</v>
      </c>
      <c r="D106" s="54" t="str">
        <f>IF(Producción!C91="","",Producción!C91)</f>
        <v/>
      </c>
      <c r="E106" s="54" t="str">
        <f>IF(Producción!E91="","",Producción!E91)</f>
        <v>TQT-R2-V30-0091</v>
      </c>
      <c r="F106" s="54" t="str">
        <f>IF(Producción!F91="","",Producción!F91)</f>
        <v/>
      </c>
      <c r="G106" s="55" t="str">
        <f>IF(Producción!I91="","",Producción!I91)</f>
        <v/>
      </c>
      <c r="H106" s="57" t="str">
        <f t="shared" si="2"/>
        <v>TQT-R1-V30-0113
TQT-R2-V30-0091</v>
      </c>
      <c r="I106" s="17"/>
      <c r="J106" s="20"/>
      <c r="K106" s="21">
        <f>IF(C106="","",IFERROR(INDEX('Catálogo PCB'!$C$3:$C$102,MATCH(C106,'Catálogo PCB'!$A$3:$A$102,0)),""))</f>
        <v>0</v>
      </c>
      <c r="L106" s="21">
        <f>IF(E106="","",IFERROR(INDEX('Catálogo PCB'!$H$3:$H$102,MATCH(E106,'Catálogo PCB'!$F$3:$F$102,0)),""))</f>
        <v>0</v>
      </c>
    </row>
    <row r="107" spans="1:12" ht="17.7" customHeight="1">
      <c r="A107" s="54"/>
      <c r="B107" s="54" t="str">
        <f>IF(Producción!A92="","",Producción!A92)</f>
        <v>0114</v>
      </c>
      <c r="C107" s="55" t="str">
        <f>IF(Producción!B92="","",Producción!B92)</f>
        <v>TQT-R1-V30-0114</v>
      </c>
      <c r="D107" s="54" t="str">
        <f>IF(Producción!C92="","",Producción!C92)</f>
        <v/>
      </c>
      <c r="E107" s="54" t="str">
        <f>IF(Producción!E92="","",Producción!E92)</f>
        <v>TQT-R2-V30-0095</v>
      </c>
      <c r="F107" s="54" t="str">
        <f>IF(Producción!F92="","",Producción!F92)</f>
        <v/>
      </c>
      <c r="G107" s="55" t="str">
        <f>IF(Producción!I92="","",Producción!I92)</f>
        <v/>
      </c>
      <c r="H107" s="57" t="str">
        <f t="shared" si="2"/>
        <v>TQT-R1-V30-0114
TQT-R2-V30-0095</v>
      </c>
      <c r="I107" s="17"/>
      <c r="J107" s="20"/>
      <c r="K107" s="21">
        <f>IF(C107="","",IFERROR(INDEX('Catálogo PCB'!$C$3:$C$102,MATCH(C107,'Catálogo PCB'!$A$3:$A$102,0)),""))</f>
        <v>0</v>
      </c>
      <c r="L107" s="21">
        <f>IF(E107="","",IFERROR(INDEX('Catálogo PCB'!$H$3:$H$102,MATCH(E107,'Catálogo PCB'!$F$3:$F$102,0)),""))</f>
        <v>0</v>
      </c>
    </row>
    <row r="108" spans="1:12" ht="17.7" customHeight="1">
      <c r="A108" s="54"/>
      <c r="B108" s="54" t="str">
        <f>IF(Producción!A93="","",Producción!A93)</f>
        <v>0119</v>
      </c>
      <c r="C108" s="55" t="str">
        <f>IF(Producción!B93="","",Producción!B93)</f>
        <v>TQT-R1-V30-0119</v>
      </c>
      <c r="D108" s="54" t="str">
        <f>IF(Producción!C93="","",Producción!C93)</f>
        <v/>
      </c>
      <c r="E108" s="54" t="str">
        <f>IF(Producción!E93="","",Producción!E93)</f>
        <v>TQT-R2-V30-0096</v>
      </c>
      <c r="F108" s="54" t="str">
        <f>IF(Producción!F93="","",Producción!F93)</f>
        <v/>
      </c>
      <c r="G108" s="55" t="str">
        <f>IF(Producción!I93="","",Producción!I93)</f>
        <v/>
      </c>
      <c r="H108" s="57" t="str">
        <f t="shared" si="2"/>
        <v>TQT-R1-V30-0119
TQT-R2-V30-0096</v>
      </c>
      <c r="I108" s="17"/>
      <c r="J108" s="20"/>
      <c r="K108" s="21">
        <f>IF(C108="","",IFERROR(INDEX('Catálogo PCB'!$C$3:$C$102,MATCH(C108,'Catálogo PCB'!$A$3:$A$102,0)),""))</f>
        <v>0</v>
      </c>
      <c r="L108" s="21">
        <f>IF(E108="","",IFERROR(INDEX('Catálogo PCB'!$H$3:$H$102,MATCH(E108,'Catálogo PCB'!$F$3:$F$102,0)),""))</f>
        <v>0</v>
      </c>
    </row>
    <row r="109" spans="1:12" ht="17.7" customHeight="1">
      <c r="A109" s="54"/>
      <c r="B109" s="54" t="str">
        <f>IF(Producción!A94="","",Producción!A94)</f>
        <v>0120</v>
      </c>
      <c r="C109" s="55" t="str">
        <f>IF(Producción!B94="","",Producción!B94)</f>
        <v>TQT-R1-V30-0120</v>
      </c>
      <c r="D109" s="54" t="str">
        <f>IF(Producción!C94="","",Producción!C94)</f>
        <v/>
      </c>
      <c r="E109" s="54" t="str">
        <f>IF(Producción!E94="","",Producción!E94)</f>
        <v>TQT-R2-V30-0097</v>
      </c>
      <c r="F109" s="54" t="str">
        <f>IF(Producción!F94="","",Producción!F94)</f>
        <v/>
      </c>
      <c r="G109" s="55" t="str">
        <f>IF(Producción!I94="","",Producción!I94)</f>
        <v/>
      </c>
      <c r="H109" s="57" t="str">
        <f t="shared" si="2"/>
        <v>TQT-R1-V30-0120
TQT-R2-V30-0097</v>
      </c>
      <c r="I109" s="17"/>
      <c r="J109" s="20"/>
      <c r="K109" s="21">
        <f>IF(C109="","",IFERROR(INDEX('Catálogo PCB'!$C$3:$C$102,MATCH(C109,'Catálogo PCB'!$A$3:$A$102,0)),""))</f>
        <v>0</v>
      </c>
      <c r="L109" s="21">
        <f>IF(E109="","",IFERROR(INDEX('Catálogo PCB'!$H$3:$H$102,MATCH(E109,'Catálogo PCB'!$F$3:$F$102,0)),""))</f>
        <v>0</v>
      </c>
    </row>
    <row r="110" spans="1:12" ht="17.7" customHeight="1">
      <c r="A110" s="54"/>
      <c r="B110" s="54" t="str">
        <f>IF(Producción!A95="","",Producción!A95)</f>
        <v>0121</v>
      </c>
      <c r="C110" s="55" t="str">
        <f>IF(Producción!B95="","",Producción!B95)</f>
        <v>TQT-R1-V30-0121</v>
      </c>
      <c r="D110" s="54" t="str">
        <f>IF(Producción!C95="","",Producción!C95)</f>
        <v/>
      </c>
      <c r="E110" s="54" t="str">
        <f>IF(Producción!E95="","",Producción!E95)</f>
        <v>TQT-R2-V30-0102</v>
      </c>
      <c r="F110" s="54" t="str">
        <f>IF(Producción!F95="","",Producción!F95)</f>
        <v/>
      </c>
      <c r="G110" s="55" t="str">
        <f>IF(Producción!I95="","",Producción!I95)</f>
        <v/>
      </c>
      <c r="H110" s="57" t="str">
        <f t="shared" si="2"/>
        <v>TQT-R1-V30-0121
TQT-R2-V30-0102</v>
      </c>
      <c r="I110" s="17"/>
      <c r="J110" s="20"/>
      <c r="K110" s="21">
        <f>IF(C110="","",IFERROR(INDEX('Catálogo PCB'!$C$3:$C$102,MATCH(C110,'Catálogo PCB'!$A$3:$A$102,0)),""))</f>
        <v>0</v>
      </c>
      <c r="L110" s="21">
        <f>IF(E110="","",IFERROR(INDEX('Catálogo PCB'!$H$3:$H$102,MATCH(E110,'Catálogo PCB'!$F$3:$F$102,0)),""))</f>
        <v>0</v>
      </c>
    </row>
    <row r="111" spans="1:12" ht="17.7" customHeight="1">
      <c r="A111" s="54"/>
      <c r="B111" s="54" t="str">
        <f>IF(Producción!A96="","",Producción!A96)</f>
        <v>0122</v>
      </c>
      <c r="C111" s="55" t="str">
        <f>IF(Producción!B96="","",Producción!B96)</f>
        <v>TQT-R1-V30-0122</v>
      </c>
      <c r="D111" s="54" t="str">
        <f>IF(Producción!C96="","",Producción!C96)</f>
        <v/>
      </c>
      <c r="E111" s="54" t="str">
        <f>IF(Producción!E96="","",Producción!E96)</f>
        <v>TQT-R2-V30-0106</v>
      </c>
      <c r="F111" s="54" t="str">
        <f>IF(Producción!F96="","",Producción!F96)</f>
        <v/>
      </c>
      <c r="G111" s="55" t="str">
        <f>IF(Producción!I96="","",Producción!I96)</f>
        <v/>
      </c>
      <c r="H111" s="57" t="str">
        <f t="shared" si="2"/>
        <v>TQT-R1-V30-0122
TQT-R2-V30-0106</v>
      </c>
      <c r="I111" s="17"/>
      <c r="J111" s="20"/>
      <c r="K111" s="21">
        <f>IF(C111="","",IFERROR(INDEX('Catálogo PCB'!$C$3:$C$102,MATCH(C111,'Catálogo PCB'!$A$3:$A$102,0)),""))</f>
        <v>0</v>
      </c>
      <c r="L111" s="21">
        <f>IF(E111="","",IFERROR(INDEX('Catálogo PCB'!$H$3:$H$102,MATCH(E111,'Catálogo PCB'!$F$3:$F$102,0)),""))</f>
        <v>0</v>
      </c>
    </row>
    <row r="112" spans="1:12" ht="17.7" customHeight="1">
      <c r="A112" s="54"/>
      <c r="B112" s="54" t="str">
        <f>IF(Producción!A97="","",Producción!A97)</f>
        <v>0123</v>
      </c>
      <c r="C112" s="55" t="str">
        <f>IF(Producción!B97="","",Producción!B97)</f>
        <v>TQT-R1-V30-0123</v>
      </c>
      <c r="D112" s="54" t="str">
        <f>IF(Producción!C97="","",Producción!C97)</f>
        <v/>
      </c>
      <c r="E112" s="54" t="str">
        <f>IF(Producción!E97="","",Producción!E97)</f>
        <v>TQT-R2-V30-0108</v>
      </c>
      <c r="F112" s="54" t="str">
        <f>IF(Producción!F97="","",Producción!F97)</f>
        <v/>
      </c>
      <c r="G112" s="55" t="str">
        <f>IF(Producción!I97="","",Producción!I97)</f>
        <v/>
      </c>
      <c r="H112" s="57" t="str">
        <f t="shared" si="2"/>
        <v>TQT-R1-V30-0123
TQT-R2-V30-0108</v>
      </c>
      <c r="I112" s="17"/>
      <c r="J112" s="20"/>
      <c r="K112" s="21">
        <f>IF(C112="","",IFERROR(INDEX('Catálogo PCB'!$C$3:$C$102,MATCH(C112,'Catálogo PCB'!$A$3:$A$102,0)),""))</f>
        <v>0</v>
      </c>
      <c r="L112" s="21">
        <f>IF(E112="","",IFERROR(INDEX('Catálogo PCB'!$H$3:$H$102,MATCH(E112,'Catálogo PCB'!$F$3:$F$102,0)),""))</f>
        <v>0</v>
      </c>
    </row>
    <row r="113" spans="1:12" ht="17.7" customHeight="1">
      <c r="A113" s="55"/>
      <c r="B113" s="54" t="str">
        <f>IF(Producción!A98="","",Producción!A98)</f>
        <v>0125</v>
      </c>
      <c r="C113" s="55" t="str">
        <f>IF(Producción!B98="","",Producción!B98)</f>
        <v>TQT-R1-V30-0125</v>
      </c>
      <c r="D113" s="54" t="str">
        <f>IF(Producción!C98="","",Producción!C98)</f>
        <v/>
      </c>
      <c r="E113" s="55" t="str">
        <f>IF(Producción!E98="","",Producción!E98)</f>
        <v>TQT-R2-V30-0109</v>
      </c>
      <c r="F113" s="54" t="str">
        <f>IF(Producción!F98="","",Producción!F98)</f>
        <v/>
      </c>
      <c r="G113" s="55" t="str">
        <f>IF(Producción!I98="","",Producción!I98)</f>
        <v/>
      </c>
      <c r="H113" s="57" t="str">
        <f t="shared" ref="H113:H116" si="3">IF(B113="","",C113&amp;IF(D113="","",CHAR(10)&amp;D113)&amp;CHAR(10)&amp;E113&amp;IF(F113="","",CHAR(10)&amp;F113)&amp;IF(G113="","",CHAR(10)&amp;"LOT: "&amp;G113))</f>
        <v>TQT-R1-V30-0125
TQT-R2-V30-0109</v>
      </c>
      <c r="I113" s="17"/>
      <c r="J113" s="20"/>
      <c r="K113" s="21">
        <f>IF(C113="","",IFERROR(INDEX('Catálogo PCB'!$C$3:$C$102,MATCH(C113,'Catálogo PCB'!$A$3:$A$102,0)),""))</f>
        <v>0</v>
      </c>
      <c r="L113" s="21">
        <f>IF(E113="","",IFERROR(INDEX('Catálogo PCB'!$H$3:$H$102,MATCH(E113,'Catálogo PCB'!$F$3:$F$102,0)),""))</f>
        <v>0</v>
      </c>
    </row>
    <row r="114" spans="1:12" ht="17.7" customHeight="1">
      <c r="A114" s="55"/>
      <c r="B114" s="54" t="str">
        <f>IF(Producción!A99="","",Producción!A99)</f>
        <v>0127</v>
      </c>
      <c r="C114" s="55" t="str">
        <f>IF(Producción!B99="","",Producción!B99)</f>
        <v>TQT-R1-V30-0127</v>
      </c>
      <c r="D114" s="54" t="str">
        <f>IF(Producción!C99="","",Producción!C99)</f>
        <v/>
      </c>
      <c r="E114" s="55" t="str">
        <f>IF(Producción!E99="","",Producción!E99)</f>
        <v>TQT-R2-V30-0110</v>
      </c>
      <c r="F114" s="54" t="str">
        <f>IF(Producción!F99="","",Producción!F99)</f>
        <v/>
      </c>
      <c r="G114" s="55" t="str">
        <f>IF(Producción!I99="","",Producción!I99)</f>
        <v/>
      </c>
      <c r="H114" s="57" t="str">
        <f t="shared" si="3"/>
        <v>TQT-R1-V30-0127
TQT-R2-V30-0110</v>
      </c>
      <c r="I114" s="17"/>
      <c r="J114" s="20"/>
      <c r="K114" s="21">
        <f>IF(C114="","",IFERROR(INDEX('Catálogo PCB'!$C$3:$C$102,MATCH(C114,'Catálogo PCB'!$A$3:$A$102,0)),""))</f>
        <v>0</v>
      </c>
      <c r="L114" s="21">
        <f>IF(E114="","",IFERROR(INDEX('Catálogo PCB'!$H$3:$H$102,MATCH(E114,'Catálogo PCB'!$F$3:$F$102,0)),""))</f>
        <v>0</v>
      </c>
    </row>
    <row r="115" spans="1:12" ht="17.7" customHeight="1">
      <c r="A115" s="55"/>
      <c r="B115" s="54" t="str">
        <f>IF(Producción!A100="","",Producción!A100)</f>
        <v>0128</v>
      </c>
      <c r="C115" s="55" t="str">
        <f>IF(Producción!B100="","",Producción!B100)</f>
        <v>TQT-R1-V30-0128</v>
      </c>
      <c r="D115" s="54" t="str">
        <f>IF(Producción!C100="","",Producción!C100)</f>
        <v/>
      </c>
      <c r="E115" s="55" t="str">
        <f>IF(Producción!E100="","",Producción!E100)</f>
        <v>TQT-R2-V30-0115</v>
      </c>
      <c r="F115" s="54" t="str">
        <f>IF(Producción!F100="","",Producción!F100)</f>
        <v/>
      </c>
      <c r="G115" s="55" t="str">
        <f>IF(Producción!I100="","",Producción!I100)</f>
        <v/>
      </c>
      <c r="H115" s="57" t="str">
        <f t="shared" si="3"/>
        <v>TQT-R1-V30-0128
TQT-R2-V30-0115</v>
      </c>
      <c r="I115" s="17"/>
      <c r="J115" s="20"/>
      <c r="K115" s="21">
        <f>IF(C115="","",IFERROR(INDEX('Catálogo PCB'!$C$3:$C$102,MATCH(C115,'Catálogo PCB'!$A$3:$A$102,0)),""))</f>
        <v>0</v>
      </c>
      <c r="L115" s="21">
        <f>IF(E115="","",IFERROR(INDEX('Catálogo PCB'!$H$3:$H$102,MATCH(E115,'Catálogo PCB'!$F$3:$F$102,0)),""))</f>
        <v>0</v>
      </c>
    </row>
    <row r="116" spans="1:12" ht="17.7" customHeight="1">
      <c r="A116" s="55"/>
      <c r="B116" s="54" t="str">
        <f>IF(Producción!A101="","",Producción!A101)</f>
        <v>0130</v>
      </c>
      <c r="C116" s="55" t="str">
        <f>IF(Producción!B101="","",Producción!B101)</f>
        <v>TQT-R1-V30-0130</v>
      </c>
      <c r="D116" s="54" t="str">
        <f>IF(Producción!C101="","",Producción!C101)</f>
        <v/>
      </c>
      <c r="E116" s="55" t="str">
        <f>IF(Producción!E101="","",Producción!E101)</f>
        <v>TQT-R2-V30-0116</v>
      </c>
      <c r="F116" s="54" t="str">
        <f>IF(Producción!F101="","",Producción!F101)</f>
        <v/>
      </c>
      <c r="G116" s="55" t="str">
        <f>IF(Producción!I101="","",Producción!I101)</f>
        <v/>
      </c>
      <c r="H116" s="57" t="str">
        <f t="shared" si="3"/>
        <v>TQT-R1-V30-0130
TQT-R2-V30-0116</v>
      </c>
      <c r="I116" s="17"/>
      <c r="J116" s="20"/>
      <c r="K116" s="21">
        <f>IF(C116="","",IFERROR(INDEX('Catálogo PCB'!$C$3:$C$102,MATCH(C116,'Catálogo PCB'!$A$3:$A$102,0)),""))</f>
        <v>0</v>
      </c>
      <c r="L116" s="21">
        <f>IF(E116="","",IFERROR(INDEX('Catálogo PCB'!$H$3:$H$102,MATCH(E116,'Catálogo PCB'!$F$3:$F$102,0)),""))</f>
        <v>0</v>
      </c>
    </row>
  </sheetData>
  <conditionalFormatting sqref="E3">
    <cfRule type="expression" dxfId="64" priority="1">
      <formula>E3="LISTA PARA IMPRIMIR"</formula>
    </cfRule>
  </conditionalFormatting>
  <conditionalFormatting sqref="E3">
    <cfRule type="expression" dxfId="63" priority="2">
      <formula>E3="REVISAR PCB/MAC"</formula>
    </cfRule>
  </conditionalFormatting>
  <conditionalFormatting sqref="G5">
    <cfRule type="expression" dxfId="62" priority="3">
      <formula>G5="LISTAS PARA DYMO"</formula>
    </cfRule>
  </conditionalFormatting>
  <conditionalFormatting sqref="G5">
    <cfRule type="expression" dxfId="61" priority="4">
      <formula>G5="REVISAR PCB/MAC"</formula>
    </cfRule>
  </conditionalFormatting>
  <conditionalFormatting sqref="A17:A116">
    <cfRule type="expression" dxfId="60" priority="5">
      <formula>A17="SI"</formula>
    </cfRule>
  </conditionalFormatting>
  <conditionalFormatting sqref="A17:A116">
    <cfRule type="expression" dxfId="59" priority="6">
      <formula>A17="NO"</formula>
    </cfRule>
  </conditionalFormatting>
  <conditionalFormatting sqref="B17:H116">
    <cfRule type="expression" dxfId="58" priority="7">
      <formula>AND($A17="SI",OR($D17="",$F17=""))</formula>
    </cfRule>
  </conditionalFormatting>
  <conditionalFormatting sqref="A17:H116">
    <cfRule type="expression" dxfId="57" priority="9">
      <formula>AND($A17&lt;&gt;"SI",MOD(ROW(),2)=1)</formula>
    </cfRule>
  </conditionalFormatting>
  <dataValidations count="2">
    <dataValidation type="list" allowBlank="1" showErrorMessage="1" sqref="A17:A116" xr:uid="{00000000-0002-0000-0200-000000000000}">
      <formula1>"NO,SI"</formula1>
    </dataValidation>
    <dataValidation type="list" allowBlank="1" showErrorMessage="1" sqref="B3" xr:uid="{00000000-0002-0000-0200-000001000000}">
      <formula1>$B$17:$B$116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5"/>
  <sheetViews>
    <sheetView topLeftCell="C1" workbookViewId="0">
      <selection activeCell="I3" sqref="I3"/>
    </sheetView>
  </sheetViews>
  <sheetFormatPr baseColWidth="10" defaultColWidth="8.69921875" defaultRowHeight="13.8"/>
  <cols>
    <col min="1" max="1" width="20" customWidth="1"/>
    <col min="2" max="2" width="22" customWidth="1"/>
    <col min="3" max="3" width="18" customWidth="1"/>
    <col min="4" max="4" width="16" customWidth="1"/>
    <col min="5" max="5" width="4" customWidth="1"/>
    <col min="6" max="6" width="20" customWidth="1"/>
    <col min="7" max="7" width="22" customWidth="1"/>
    <col min="8" max="8" width="18" customWidth="1"/>
    <col min="9" max="9" width="16" customWidth="1"/>
    <col min="11" max="11" width="20" customWidth="1"/>
    <col min="12" max="12" width="22" customWidth="1"/>
    <col min="13" max="13" width="18" customWidth="1"/>
    <col min="14" max="14" width="2.5" customWidth="1"/>
    <col min="15" max="15" width="20" customWidth="1"/>
  </cols>
  <sheetData>
    <row r="1" spans="1:15" ht="33.6">
      <c r="A1" s="58" t="s">
        <v>249</v>
      </c>
      <c r="B1" s="59"/>
      <c r="C1" s="59"/>
      <c r="D1" s="59"/>
      <c r="E1" s="22"/>
      <c r="F1" s="58" t="s">
        <v>250</v>
      </c>
      <c r="G1" s="59"/>
      <c r="H1" s="59"/>
      <c r="I1" s="59"/>
      <c r="K1" s="58" t="s">
        <v>480</v>
      </c>
      <c r="L1" s="59"/>
      <c r="M1" s="59"/>
      <c r="O1" s="58" t="s">
        <v>582</v>
      </c>
    </row>
    <row r="2" spans="1:15" ht="20.85" customHeight="1">
      <c r="A2" s="63" t="s">
        <v>251</v>
      </c>
      <c r="B2" s="63" t="s">
        <v>252</v>
      </c>
      <c r="C2" s="63" t="s">
        <v>253</v>
      </c>
      <c r="D2" s="63" t="s">
        <v>254</v>
      </c>
      <c r="E2" s="22"/>
      <c r="F2" s="63" t="s">
        <v>251</v>
      </c>
      <c r="G2" s="63" t="s">
        <v>252</v>
      </c>
      <c r="H2" s="63" t="s">
        <v>253</v>
      </c>
      <c r="I2" s="63" t="s">
        <v>254</v>
      </c>
      <c r="K2" s="63" t="s">
        <v>251</v>
      </c>
      <c r="L2" s="63" t="s">
        <v>253</v>
      </c>
      <c r="M2" s="63" t="s">
        <v>254</v>
      </c>
      <c r="O2" s="63" t="s">
        <v>251</v>
      </c>
    </row>
    <row r="3" spans="1:15" ht="17.7" customHeight="1">
      <c r="A3" s="64" t="s">
        <v>275</v>
      </c>
      <c r="B3" s="64"/>
      <c r="C3" s="65"/>
      <c r="D3" s="65" t="str">
        <f>IF(A3="","",IF(COUNTIF(Producción!$B$2:$B$101,A3)=0,"SUELTA",IF(COUNTIF(Producción!$B$2:$B$101,A3)&gt;1,"DUPLICADA",IF(INDEX(Producción!$E$2:$E$101,MATCH(A3,Producción!$B$2:$B$101,0))="","SUELTA",TEXT(INDEX(Producción!$A$2:$A$101,MATCH(A3,Producción!$B$2:$B$101,0)),"0000")))))</f>
        <v>0011</v>
      </c>
      <c r="E3" s="20"/>
      <c r="F3" s="64" t="s">
        <v>375</v>
      </c>
      <c r="G3" s="64"/>
      <c r="H3" s="65"/>
      <c r="I3" s="65" t="str">
        <f>IF(F3="","",IF(COUNTIF(Producción!$E$2:$E$101,F3)=0,"SUELTA",IF(COUNTIF(Producción!$E$2:$E$101,F3)&gt;1,"DUPLICADA",IF(INDEX(Producción!$B$2:$B$101,MATCH(F3,Producción!$E$2:$E$101,0))="","SUELTA",TEXT(INDEX(Producción!$A$2:$A$101,MATCH(F3,Producción!$E$2:$E$101,0)),"0000")))))</f>
        <v>0011</v>
      </c>
      <c r="K3" s="64" t="s">
        <v>481</v>
      </c>
      <c r="L3" s="65"/>
      <c r="M3" s="64" t="str">
        <f>IF(K3="","",IF(COUNTIF(Producción!$H$2:$H$101,K3)=0,"DISPONIBLE",IF(COUNTIF(Producción!$H$2:$H$101,K3)&gt;1,"DUPLICADA",INDEX(Producción!$A$2:$A$101,MATCH(K3,Producción!$H$2:$H$101,0)))))</f>
        <v>DISPONIBLE</v>
      </c>
      <c r="O3" s="64" t="str" cm="1">
        <f t="array" ref="O3:O102">_xlfn._xlws.FILTER(K3:K102,M3:M102="DISPONIBLE","SIN DISPONIBLES")</f>
        <v>TQT-R3-V30-0011</v>
      </c>
    </row>
    <row r="4" spans="1:15" ht="17.7" customHeight="1">
      <c r="A4" s="64" t="s">
        <v>276</v>
      </c>
      <c r="B4" s="64"/>
      <c r="C4" s="65"/>
      <c r="D4" s="65" t="str">
        <f>IF(A4="","",IF(COUNTIF(Producción!$B$2:$B$101,A4)=0,"SUELTA",IF(COUNTIF(Producción!$B$2:$B$101,A4)&gt;1,"DUPLICADA",IF(INDEX(Producción!$E$2:$E$101,MATCH(A4,Producción!$B$2:$B$101,0))="","SUELTA",TEXT(INDEX(Producción!$A$2:$A$101,MATCH(A4,Producción!$B$2:$B$101,0)),"0000")))))</f>
        <v>0012</v>
      </c>
      <c r="E4" s="20"/>
      <c r="F4" s="64" t="s">
        <v>376</v>
      </c>
      <c r="G4" s="66"/>
      <c r="H4" s="65"/>
      <c r="I4" s="65" t="str">
        <f>IF(F4="","",IF(COUNTIF(Producción!$E$2:$E$101,F4)=0,"SUELTA",IF(COUNTIF(Producción!$E$2:$E$101,F4)&gt;1,"DUPLICADA",IF(INDEX(Producción!$B$2:$B$101,MATCH(F4,Producción!$E$2:$E$101,0))="","SUELTA",TEXT(INDEX(Producción!$A$2:$A$101,MATCH(F4,Producción!$E$2:$E$101,0)),"0000")))))</f>
        <v>0012</v>
      </c>
      <c r="K4" s="64" t="s">
        <v>482</v>
      </c>
      <c r="L4" s="65"/>
      <c r="M4" s="64" t="str">
        <f>IF(K4="","",IF(COUNTIF(Producción!$H$2:$H$101,K4)=0,"DISPONIBLE",IF(COUNTIF(Producción!$H$2:$H$101,K4)&gt;1,"DUPLICADA",INDEX(Producción!$A$2:$A$101,MATCH(K4,Producción!$H$2:$H$101,0)))))</f>
        <v>DISPONIBLE</v>
      </c>
      <c r="O4" s="64" t="str">
        <v>TQT-R3-V30-0012</v>
      </c>
    </row>
    <row r="5" spans="1:15" ht="17.7" customHeight="1">
      <c r="A5" s="64" t="s">
        <v>277</v>
      </c>
      <c r="B5" s="64"/>
      <c r="C5" s="65"/>
      <c r="D5" s="65" t="str">
        <f>IF(A5="","",IF(COUNTIF(Producción!$B$2:$B$101,A5)=0,"SUELTA",IF(COUNTIF(Producción!$B$2:$B$101,A5)&gt;1,"DUPLICADA",IF(INDEX(Producción!$E$2:$E$101,MATCH(A5,Producción!$B$2:$B$101,0))="","SUELTA",TEXT(INDEX(Producción!$A$2:$A$101,MATCH(A5,Producción!$B$2:$B$101,0)),"0000")))))</f>
        <v>0013</v>
      </c>
      <c r="E5" s="20"/>
      <c r="F5" s="64" t="s">
        <v>377</v>
      </c>
      <c r="G5" s="64"/>
      <c r="H5" s="65"/>
      <c r="I5" s="65" t="str">
        <f>IF(F5="","",IF(COUNTIF(Producción!$E$2:$E$101,F5)=0,"SUELTA",IF(COUNTIF(Producción!$E$2:$E$101,F5)&gt;1,"DUPLICADA",IF(INDEX(Producción!$B$2:$B$101,MATCH(F5,Producción!$E$2:$E$101,0))="","SUELTA",TEXT(INDEX(Producción!$A$2:$A$101,MATCH(F5,Producción!$E$2:$E$101,0)),"0000")))))</f>
        <v>0013</v>
      </c>
      <c r="K5" s="64" t="s">
        <v>483</v>
      </c>
      <c r="L5" s="65"/>
      <c r="M5" s="64" t="str">
        <f>IF(K5="","",IF(COUNTIF(Producción!$H$2:$H$101,K5)=0,"DISPONIBLE",IF(COUNTIF(Producción!$H$2:$H$101,K5)&gt;1,"DUPLICADA",INDEX(Producción!$A$2:$A$101,MATCH(K5,Producción!$H$2:$H$101,0)))))</f>
        <v>DISPONIBLE</v>
      </c>
      <c r="O5" s="64" t="str">
        <v>TQT-R3-V30-0013</v>
      </c>
    </row>
    <row r="6" spans="1:15" ht="17.7" customHeight="1">
      <c r="A6" s="64" t="s">
        <v>278</v>
      </c>
      <c r="B6" s="64"/>
      <c r="C6" s="65"/>
      <c r="D6" s="65" t="str">
        <f>IF(A6="","",IF(COUNTIF(Producción!$B$2:$B$101,A6)=0,"SUELTA",IF(COUNTIF(Producción!$B$2:$B$101,A6)&gt;1,"DUPLICADA",IF(INDEX(Producción!$E$2:$E$101,MATCH(A6,Producción!$B$2:$B$101,0))="","SUELTA",TEXT(INDEX(Producción!$A$2:$A$101,MATCH(A6,Producción!$B$2:$B$101,0)),"0000")))))</f>
        <v>0014</v>
      </c>
      <c r="E6" s="20"/>
      <c r="F6" s="64" t="s">
        <v>378</v>
      </c>
      <c r="G6" s="64"/>
      <c r="H6" s="65"/>
      <c r="I6" s="65" t="str">
        <f>IF(F6="","",IF(COUNTIF(Producción!$E$2:$E$101,F6)=0,"SUELTA",IF(COUNTIF(Producción!$E$2:$E$101,F6)&gt;1,"DUPLICADA",IF(INDEX(Producción!$B$2:$B$101,MATCH(F6,Producción!$E$2:$E$101,0))="","SUELTA",TEXT(INDEX(Producción!$A$2:$A$101,MATCH(F6,Producción!$E$2:$E$101,0)),"0000")))))</f>
        <v>0014</v>
      </c>
      <c r="K6" s="64" t="s">
        <v>484</v>
      </c>
      <c r="L6" s="65"/>
      <c r="M6" s="64" t="str">
        <f>IF(K6="","",IF(COUNTIF(Producción!$H$2:$H$101,K6)=0,"DISPONIBLE",IF(COUNTIF(Producción!$H$2:$H$101,K6)&gt;1,"DUPLICADA",INDEX(Producción!$A$2:$A$101,MATCH(K6,Producción!$H$2:$H$101,0)))))</f>
        <v>DISPONIBLE</v>
      </c>
      <c r="O6" s="64" t="str">
        <v>TQT-R3-V30-0014</v>
      </c>
    </row>
    <row r="7" spans="1:15" ht="17.7" customHeight="1">
      <c r="A7" s="64" t="s">
        <v>279</v>
      </c>
      <c r="B7" s="64"/>
      <c r="C7" s="65"/>
      <c r="D7" s="65" t="str">
        <f>IF(A7="","",IF(COUNTIF(Producción!$B$2:$B$101,A7)=0,"SUELTA",IF(COUNTIF(Producción!$B$2:$B$101,A7)&gt;1,"DUPLICADA",IF(INDEX(Producción!$E$2:$E$101,MATCH(A7,Producción!$B$2:$B$101,0))="","SUELTA",TEXT(INDEX(Producción!$A$2:$A$101,MATCH(A7,Producción!$B$2:$B$101,0)),"0000")))))</f>
        <v>0015</v>
      </c>
      <c r="E7" s="20"/>
      <c r="F7" s="64" t="s">
        <v>379</v>
      </c>
      <c r="G7" s="64"/>
      <c r="H7" s="65"/>
      <c r="I7" s="65" t="str">
        <f>IF(F7="","",IF(COUNTIF(Producción!$E$2:$E$101,F7)=0,"SUELTA",IF(COUNTIF(Producción!$E$2:$E$101,F7)&gt;1,"DUPLICADA",IF(INDEX(Producción!$B$2:$B$101,MATCH(F7,Producción!$E$2:$E$101,0))="","SUELTA",TEXT(INDEX(Producción!$A$2:$A$101,MATCH(F7,Producción!$E$2:$E$101,0)),"0000")))))</f>
        <v>0015</v>
      </c>
      <c r="K7" s="64" t="s">
        <v>485</v>
      </c>
      <c r="L7" s="65"/>
      <c r="M7" s="64" t="str">
        <f>IF(K7="","",IF(COUNTIF(Producción!$H$2:$H$101,K7)=0,"DISPONIBLE",IF(COUNTIF(Producción!$H$2:$H$101,K7)&gt;1,"DUPLICADA",INDEX(Producción!$A$2:$A$101,MATCH(K7,Producción!$H$2:$H$101,0)))))</f>
        <v>DISPONIBLE</v>
      </c>
      <c r="O7" s="64" t="str">
        <v>TQT-R3-V30-0015</v>
      </c>
    </row>
    <row r="8" spans="1:15" ht="17.7" customHeight="1">
      <c r="A8" s="64" t="s">
        <v>280</v>
      </c>
      <c r="B8" s="64"/>
      <c r="C8" s="65"/>
      <c r="D8" s="65" t="str">
        <f>IF(A8="","",IF(COUNTIF(Producción!$B$2:$B$101,A8)=0,"SUELTA",IF(COUNTIF(Producción!$B$2:$B$101,A8)&gt;1,"DUPLICADA",IF(INDEX(Producción!$E$2:$E$101,MATCH(A8,Producción!$B$2:$B$101,0))="","SUELTA",TEXT(INDEX(Producción!$A$2:$A$101,MATCH(A8,Producción!$B$2:$B$101,0)),"0000")))))</f>
        <v>0016</v>
      </c>
      <c r="E8" s="20"/>
      <c r="F8" s="64" t="s">
        <v>380</v>
      </c>
      <c r="G8" s="64"/>
      <c r="H8" s="65"/>
      <c r="I8" s="65" t="str">
        <f>IF(F8="","",IF(COUNTIF(Producción!$E$2:$E$101,F8)=0,"SUELTA",IF(COUNTIF(Producción!$E$2:$E$101,F8)&gt;1,"DUPLICADA",IF(INDEX(Producción!$B$2:$B$101,MATCH(F8,Producción!$E$2:$E$101,0))="","SUELTA",TEXT(INDEX(Producción!$A$2:$A$101,MATCH(F8,Producción!$E$2:$E$101,0)),"0000")))))</f>
        <v>0016</v>
      </c>
      <c r="K8" s="64" t="s">
        <v>486</v>
      </c>
      <c r="L8" s="65"/>
      <c r="M8" s="64" t="str">
        <f>IF(K8="","",IF(COUNTIF(Producción!$H$2:$H$101,K8)=0,"DISPONIBLE",IF(COUNTIF(Producción!$H$2:$H$101,K8)&gt;1,"DUPLICADA",INDEX(Producción!$A$2:$A$101,MATCH(K8,Producción!$H$2:$H$101,0)))))</f>
        <v>DISPONIBLE</v>
      </c>
      <c r="O8" s="64" t="str">
        <v>TQT-R3-V30-0016</v>
      </c>
    </row>
    <row r="9" spans="1:15" ht="17.7" customHeight="1">
      <c r="A9" s="64" t="s">
        <v>281</v>
      </c>
      <c r="B9" s="64"/>
      <c r="C9" s="65"/>
      <c r="D9" s="65" t="str">
        <f>IF(A9="","",IF(COUNTIF(Producción!$B$2:$B$101,A9)=0,"SUELTA",IF(COUNTIF(Producción!$B$2:$B$101,A9)&gt;1,"DUPLICADA",IF(INDEX(Producción!$E$2:$E$101,MATCH(A9,Producción!$B$2:$B$101,0))="","SUELTA",TEXT(INDEX(Producción!$A$2:$A$101,MATCH(A9,Producción!$B$2:$B$101,0)),"0000")))))</f>
        <v>0017</v>
      </c>
      <c r="E9" s="20"/>
      <c r="F9" s="64" t="s">
        <v>381</v>
      </c>
      <c r="G9" s="64"/>
      <c r="H9" s="65"/>
      <c r="I9" s="65" t="str">
        <f>IF(F9="","",IF(COUNTIF(Producción!$E$2:$E$101,F9)=0,"SUELTA",IF(COUNTIF(Producción!$E$2:$E$101,F9)&gt;1,"DUPLICADA",IF(INDEX(Producción!$B$2:$B$101,MATCH(F9,Producción!$E$2:$E$101,0))="","SUELTA",TEXT(INDEX(Producción!$A$2:$A$101,MATCH(F9,Producción!$E$2:$E$101,0)),"0000")))))</f>
        <v>0017</v>
      </c>
      <c r="K9" s="64" t="s">
        <v>487</v>
      </c>
      <c r="L9" s="65"/>
      <c r="M9" s="64" t="str">
        <f>IF(K9="","",IF(COUNTIF(Producción!$H$2:$H$101,K9)=0,"DISPONIBLE",IF(COUNTIF(Producción!$H$2:$H$101,K9)&gt;1,"DUPLICADA",INDEX(Producción!$A$2:$A$101,MATCH(K9,Producción!$H$2:$H$101,0)))))</f>
        <v>DISPONIBLE</v>
      </c>
      <c r="O9" s="64" t="str">
        <v>TQT-R3-V30-0017</v>
      </c>
    </row>
    <row r="10" spans="1:15" ht="17.7" customHeight="1">
      <c r="A10" s="64" t="s">
        <v>282</v>
      </c>
      <c r="B10" s="64"/>
      <c r="C10" s="65"/>
      <c r="D10" s="65" t="str">
        <f>IF(A10="","",IF(COUNTIF(Producción!$B$2:$B$101,A10)=0,"SUELTA",IF(COUNTIF(Producción!$B$2:$B$101,A10)&gt;1,"DUPLICADA",IF(INDEX(Producción!$E$2:$E$101,MATCH(A10,Producción!$B$2:$B$101,0))="","SUELTA",TEXT(INDEX(Producción!$A$2:$A$101,MATCH(A10,Producción!$B$2:$B$101,0)),"0000")))))</f>
        <v>0018</v>
      </c>
      <c r="E10" s="20"/>
      <c r="F10" s="64" t="s">
        <v>382</v>
      </c>
      <c r="G10" s="64"/>
      <c r="H10" s="65"/>
      <c r="I10" s="65" t="str">
        <f>IF(F10="","",IF(COUNTIF(Producción!$E$2:$E$101,F10)=0,"SUELTA",IF(COUNTIF(Producción!$E$2:$E$101,F10)&gt;1,"DUPLICADA",IF(INDEX(Producción!$B$2:$B$101,MATCH(F10,Producción!$E$2:$E$101,0))="","SUELTA",TEXT(INDEX(Producción!$A$2:$A$101,MATCH(F10,Producción!$E$2:$E$101,0)),"0000")))))</f>
        <v>0019</v>
      </c>
      <c r="K10" s="64" t="s">
        <v>488</v>
      </c>
      <c r="L10" s="65"/>
      <c r="M10" s="64" t="str">
        <f>IF(K10="","",IF(COUNTIF(Producción!$H$2:$H$101,K10)=0,"DISPONIBLE",IF(COUNTIF(Producción!$H$2:$H$101,K10)&gt;1,"DUPLICADA",INDEX(Producción!$A$2:$A$101,MATCH(K10,Producción!$H$2:$H$101,0)))))</f>
        <v>DISPONIBLE</v>
      </c>
      <c r="O10" s="64" t="str">
        <v>TQT-R3-V30-0018</v>
      </c>
    </row>
    <row r="11" spans="1:15" ht="17.7" customHeight="1">
      <c r="A11" s="64" t="s">
        <v>283</v>
      </c>
      <c r="B11" s="64"/>
      <c r="C11" s="65"/>
      <c r="D11" s="65" t="str">
        <f>IF(A11="","",IF(COUNTIF(Producción!$B$2:$B$101,A11)=0,"SUELTA",IF(COUNTIF(Producción!$B$2:$B$101,A11)&gt;1,"DUPLICADA",IF(INDEX(Producción!$E$2:$E$101,MATCH(A11,Producción!$B$2:$B$101,0))="","SUELTA",TEXT(INDEX(Producción!$A$2:$A$101,MATCH(A11,Producción!$B$2:$B$101,0)),"0000")))))</f>
        <v>0019</v>
      </c>
      <c r="E11" s="20"/>
      <c r="F11" s="64" t="s">
        <v>383</v>
      </c>
      <c r="G11" s="64"/>
      <c r="H11" s="65"/>
      <c r="I11" s="65" t="str">
        <f>IF(F11="","",IF(COUNTIF(Producción!$E$2:$E$101,F11)=0,"SUELTA",IF(COUNTIF(Producción!$E$2:$E$101,F11)&gt;1,"DUPLICADA",IF(INDEX(Producción!$B$2:$B$101,MATCH(F11,Producción!$E$2:$E$101,0))="","SUELTA",TEXT(INDEX(Producción!$A$2:$A$101,MATCH(F11,Producción!$E$2:$E$101,0)),"0000")))))</f>
        <v>0020</v>
      </c>
      <c r="K11" s="64" t="s">
        <v>489</v>
      </c>
      <c r="L11" s="65"/>
      <c r="M11" s="64" t="str">
        <f>IF(K11="","",IF(COUNTIF(Producción!$H$2:$H$101,K11)=0,"DISPONIBLE",IF(COUNTIF(Producción!$H$2:$H$101,K11)&gt;1,"DUPLICADA",INDEX(Producción!$A$2:$A$101,MATCH(K11,Producción!$H$2:$H$101,0)))))</f>
        <v>DISPONIBLE</v>
      </c>
      <c r="O11" s="64" t="str">
        <v>TQT-R3-V30-0019</v>
      </c>
    </row>
    <row r="12" spans="1:15" ht="17.7" customHeight="1">
      <c r="A12" s="64" t="s">
        <v>284</v>
      </c>
      <c r="B12" s="64"/>
      <c r="C12" s="65"/>
      <c r="D12" s="65" t="str">
        <f>IF(A12="","",IF(COUNTIF(Producción!$B$2:$B$101,A12)=0,"SUELTA",IF(COUNTIF(Producción!$B$2:$B$101,A12)&gt;1,"DUPLICADA",IF(INDEX(Producción!$E$2:$E$101,MATCH(A12,Producción!$B$2:$B$101,0))="","SUELTA",TEXT(INDEX(Producción!$A$2:$A$101,MATCH(A12,Producción!$B$2:$B$101,0)),"0000")))))</f>
        <v>0020</v>
      </c>
      <c r="E12" s="20"/>
      <c r="F12" s="64" t="s">
        <v>384</v>
      </c>
      <c r="G12" s="64"/>
      <c r="H12" s="65"/>
      <c r="I12" s="65" t="str">
        <f>IF(F12="","",IF(COUNTIF(Producción!$E$2:$E$101,F12)=0,"SUELTA",IF(COUNTIF(Producción!$E$2:$E$101,F12)&gt;1,"DUPLICADA",IF(INDEX(Producción!$B$2:$B$101,MATCH(F12,Producción!$E$2:$E$101,0))="","SUELTA",TEXT(INDEX(Producción!$A$2:$A$101,MATCH(F12,Producción!$E$2:$E$101,0)),"0000")))))</f>
        <v>0021</v>
      </c>
      <c r="K12" s="64" t="s">
        <v>490</v>
      </c>
      <c r="L12" s="65"/>
      <c r="M12" s="64" t="str">
        <f>IF(K12="","",IF(COUNTIF(Producción!$H$2:$H$101,K12)=0,"DISPONIBLE",IF(COUNTIF(Producción!$H$2:$H$101,K12)&gt;1,"DUPLICADA",INDEX(Producción!$A$2:$A$101,MATCH(K12,Producción!$H$2:$H$101,0)))))</f>
        <v>DISPONIBLE</v>
      </c>
      <c r="O12" s="64" t="str">
        <v>TQT-R3-V30-0020</v>
      </c>
    </row>
    <row r="13" spans="1:15" ht="17.7" customHeight="1">
      <c r="A13" s="64" t="s">
        <v>285</v>
      </c>
      <c r="B13" s="64"/>
      <c r="C13" s="65"/>
      <c r="D13" s="65" t="str">
        <f>IF(A13="","",IF(COUNTIF(Producción!$B$2:$B$101,A13)=0,"SUELTA",IF(COUNTIF(Producción!$B$2:$B$101,A13)&gt;1,"DUPLICADA",IF(INDEX(Producción!$E$2:$E$101,MATCH(A13,Producción!$B$2:$B$101,0))="","SUELTA",TEXT(INDEX(Producción!$A$2:$A$101,MATCH(A13,Producción!$B$2:$B$101,0)),"0000")))))</f>
        <v>0021</v>
      </c>
      <c r="E13" s="20"/>
      <c r="F13" s="64" t="s">
        <v>385</v>
      </c>
      <c r="G13" s="64"/>
      <c r="H13" s="65"/>
      <c r="I13" s="65" t="str">
        <f>IF(F13="","",IF(COUNTIF(Producción!$E$2:$E$101,F13)=0,"SUELTA",IF(COUNTIF(Producción!$E$2:$E$101,F13)&gt;1,"DUPLICADA",IF(INDEX(Producción!$B$2:$B$101,MATCH(F13,Producción!$E$2:$E$101,0))="","SUELTA",TEXT(INDEX(Producción!$A$2:$A$101,MATCH(F13,Producción!$E$2:$E$101,0)),"0000")))))</f>
        <v>0022</v>
      </c>
      <c r="K13" s="64" t="s">
        <v>491</v>
      </c>
      <c r="L13" s="65"/>
      <c r="M13" s="64" t="str">
        <f>IF(K13="","",IF(COUNTIF(Producción!$H$2:$H$101,K13)=0,"DISPONIBLE",IF(COUNTIF(Producción!$H$2:$H$101,K13)&gt;1,"DUPLICADA",INDEX(Producción!$A$2:$A$101,MATCH(K13,Producción!$H$2:$H$101,0)))))</f>
        <v>DISPONIBLE</v>
      </c>
      <c r="O13" s="64" t="str">
        <v>TQT-R3-V30-0021</v>
      </c>
    </row>
    <row r="14" spans="1:15" ht="17.7" customHeight="1">
      <c r="A14" s="64" t="s">
        <v>286</v>
      </c>
      <c r="B14" s="64"/>
      <c r="C14" s="65"/>
      <c r="D14" s="65" t="str">
        <f>IF(A14="","",IF(COUNTIF(Producción!$B$2:$B$101,A14)=0,"SUELTA",IF(COUNTIF(Producción!$B$2:$B$101,A14)&gt;1,"DUPLICADA",IF(INDEX(Producción!$E$2:$E$101,MATCH(A14,Producción!$B$2:$B$101,0))="","SUELTA",TEXT(INDEX(Producción!$A$2:$A$101,MATCH(A14,Producción!$B$2:$B$101,0)),"0000")))))</f>
        <v>0022</v>
      </c>
      <c r="E14" s="20"/>
      <c r="F14" s="64" t="s">
        <v>386</v>
      </c>
      <c r="G14" s="64"/>
      <c r="H14" s="65"/>
      <c r="I14" s="65" t="str">
        <f>IF(F14="","",IF(COUNTIF(Producción!$E$2:$E$101,F14)=0,"SUELTA",IF(COUNTIF(Producción!$E$2:$E$101,F14)&gt;1,"DUPLICADA",IF(INDEX(Producción!$B$2:$B$101,MATCH(F14,Producción!$E$2:$E$101,0))="","SUELTA",TEXT(INDEX(Producción!$A$2:$A$101,MATCH(F14,Producción!$E$2:$E$101,0)),"0000")))))</f>
        <v>0023</v>
      </c>
      <c r="K14" s="64" t="s">
        <v>492</v>
      </c>
      <c r="L14" s="65"/>
      <c r="M14" s="64" t="str">
        <f>IF(K14="","",IF(COUNTIF(Producción!$H$2:$H$101,K14)=0,"DISPONIBLE",IF(COUNTIF(Producción!$H$2:$H$101,K14)&gt;1,"DUPLICADA",INDEX(Producción!$A$2:$A$101,MATCH(K14,Producción!$H$2:$H$101,0)))))</f>
        <v>DISPONIBLE</v>
      </c>
      <c r="O14" s="64" t="str">
        <v>TQT-R3-V30-0022</v>
      </c>
    </row>
    <row r="15" spans="1:15" ht="17.7" customHeight="1">
      <c r="A15" s="64" t="s">
        <v>287</v>
      </c>
      <c r="B15" s="64"/>
      <c r="C15" s="65"/>
      <c r="D15" s="65" t="str">
        <f>IF(A15="","",IF(COUNTIF(Producción!$B$2:$B$101,A15)=0,"SUELTA",IF(COUNTIF(Producción!$B$2:$B$101,A15)&gt;1,"DUPLICADA",IF(INDEX(Producción!$E$2:$E$101,MATCH(A15,Producción!$B$2:$B$101,0))="","SUELTA",TEXT(INDEX(Producción!$A$2:$A$101,MATCH(A15,Producción!$B$2:$B$101,0)),"0000")))))</f>
        <v>0023</v>
      </c>
      <c r="E15" s="20"/>
      <c r="F15" s="64" t="s">
        <v>387</v>
      </c>
      <c r="G15" s="64"/>
      <c r="H15" s="65"/>
      <c r="I15" s="65" t="str">
        <f>IF(F15="","",IF(COUNTIF(Producción!$E$2:$E$101,F15)=0,"SUELTA",IF(COUNTIF(Producción!$E$2:$E$101,F15)&gt;1,"DUPLICADA",IF(INDEX(Producción!$B$2:$B$101,MATCH(F15,Producción!$E$2:$E$101,0))="","SUELTA",TEXT(INDEX(Producción!$A$2:$A$101,MATCH(F15,Producción!$E$2:$E$101,0)),"0000")))))</f>
        <v>0024</v>
      </c>
      <c r="K15" s="64" t="s">
        <v>493</v>
      </c>
      <c r="L15" s="65"/>
      <c r="M15" s="64" t="str">
        <f>IF(K15="","",IF(COUNTIF(Producción!$H$2:$H$101,K15)=0,"DISPONIBLE",IF(COUNTIF(Producción!$H$2:$H$101,K15)&gt;1,"DUPLICADA",INDEX(Producción!$A$2:$A$101,MATCH(K15,Producción!$H$2:$H$101,0)))))</f>
        <v>DISPONIBLE</v>
      </c>
      <c r="O15" s="64" t="str">
        <v>TQT-R3-V30-0023</v>
      </c>
    </row>
    <row r="16" spans="1:15" ht="17.7" customHeight="1">
      <c r="A16" s="64" t="s">
        <v>288</v>
      </c>
      <c r="B16" s="64"/>
      <c r="C16" s="65"/>
      <c r="D16" s="65" t="str">
        <f>IF(A16="","",IF(COUNTIF(Producción!$B$2:$B$101,A16)=0,"SUELTA",IF(COUNTIF(Producción!$B$2:$B$101,A16)&gt;1,"DUPLICADA",IF(INDEX(Producción!$E$2:$E$101,MATCH(A16,Producción!$B$2:$B$101,0))="","SUELTA",TEXT(INDEX(Producción!$A$2:$A$101,MATCH(A16,Producción!$B$2:$B$101,0)),"0000")))))</f>
        <v>0024</v>
      </c>
      <c r="E16" s="20"/>
      <c r="F16" s="64" t="s">
        <v>388</v>
      </c>
      <c r="G16" s="64"/>
      <c r="H16" s="65"/>
      <c r="I16" s="65" t="str">
        <f>IF(F16="","",IF(COUNTIF(Producción!$E$2:$E$101,F16)=0,"SUELTA",IF(COUNTIF(Producción!$E$2:$E$101,F16)&gt;1,"DUPLICADA",IF(INDEX(Producción!$B$2:$B$101,MATCH(F16,Producción!$E$2:$E$101,0))="","SUELTA",TEXT(INDEX(Producción!$A$2:$A$101,MATCH(F16,Producción!$E$2:$E$101,0)),"0000")))))</f>
        <v>0025</v>
      </c>
      <c r="K16" s="64" t="s">
        <v>494</v>
      </c>
      <c r="L16" s="65"/>
      <c r="M16" s="64" t="str">
        <f>IF(K16="","",IF(COUNTIF(Producción!$H$2:$H$101,K16)=0,"DISPONIBLE",IF(COUNTIF(Producción!$H$2:$H$101,K16)&gt;1,"DUPLICADA",INDEX(Producción!$A$2:$A$101,MATCH(K16,Producción!$H$2:$H$101,0)))))</f>
        <v>DISPONIBLE</v>
      </c>
      <c r="O16" s="64" t="str">
        <v>TQT-R3-V30-0024</v>
      </c>
    </row>
    <row r="17" spans="1:15" ht="17.7" customHeight="1">
      <c r="A17" s="64" t="s">
        <v>289</v>
      </c>
      <c r="B17" s="64"/>
      <c r="C17" s="65"/>
      <c r="D17" s="65" t="str">
        <f>IF(A17="","",IF(COUNTIF(Producción!$B$2:$B$101,A17)=0,"SUELTA",IF(COUNTIF(Producción!$B$2:$B$101,A17)&gt;1,"DUPLICADA",IF(INDEX(Producción!$E$2:$E$101,MATCH(A17,Producción!$B$2:$B$101,0))="","SUELTA",TEXT(INDEX(Producción!$A$2:$A$101,MATCH(A17,Producción!$B$2:$B$101,0)),"0000")))))</f>
        <v>0025</v>
      </c>
      <c r="E17" s="20"/>
      <c r="F17" s="64" t="s">
        <v>389</v>
      </c>
      <c r="G17" s="64"/>
      <c r="H17" s="65"/>
      <c r="I17" s="65" t="str">
        <f>IF(F17="","",IF(COUNTIF(Producción!$E$2:$E$101,F17)=0,"SUELTA",IF(COUNTIF(Producción!$E$2:$E$101,F17)&gt;1,"DUPLICADA",IF(INDEX(Producción!$B$2:$B$101,MATCH(F17,Producción!$E$2:$E$101,0))="","SUELTA",TEXT(INDEX(Producción!$A$2:$A$101,MATCH(F17,Producción!$E$2:$E$101,0)),"0000")))))</f>
        <v>0026</v>
      </c>
      <c r="K17" s="64" t="s">
        <v>495</v>
      </c>
      <c r="L17" s="65"/>
      <c r="M17" s="64" t="str">
        <f>IF(K17="","",IF(COUNTIF(Producción!$H$2:$H$101,K17)=0,"DISPONIBLE",IF(COUNTIF(Producción!$H$2:$H$101,K17)&gt;1,"DUPLICADA",INDEX(Producción!$A$2:$A$101,MATCH(K17,Producción!$H$2:$H$101,0)))))</f>
        <v>DISPONIBLE</v>
      </c>
      <c r="O17" s="64" t="str">
        <v>TQT-R3-V30-0025</v>
      </c>
    </row>
    <row r="18" spans="1:15" ht="17.7" customHeight="1">
      <c r="A18" s="64" t="s">
        <v>290</v>
      </c>
      <c r="B18" s="64"/>
      <c r="C18" s="65"/>
      <c r="D18" s="65" t="str">
        <f>IF(A18="","",IF(COUNTIF(Producción!$B$2:$B$101,A18)=0,"SUELTA",IF(COUNTIF(Producción!$B$2:$B$101,A18)&gt;1,"DUPLICADA",IF(INDEX(Producción!$E$2:$E$101,MATCH(A18,Producción!$B$2:$B$101,0))="","SUELTA",TEXT(INDEX(Producción!$A$2:$A$101,MATCH(A18,Producción!$B$2:$B$101,0)),"0000")))))</f>
        <v>0026</v>
      </c>
      <c r="E18" s="20"/>
      <c r="F18" s="64" t="s">
        <v>390</v>
      </c>
      <c r="G18" s="64"/>
      <c r="H18" s="65"/>
      <c r="I18" s="65" t="str">
        <f>IF(F18="","",IF(COUNTIF(Producción!$E$2:$E$101,F18)=0,"SUELTA",IF(COUNTIF(Producción!$E$2:$E$101,F18)&gt;1,"DUPLICADA",IF(INDEX(Producción!$B$2:$B$101,MATCH(F18,Producción!$E$2:$E$101,0))="","SUELTA",TEXT(INDEX(Producción!$A$2:$A$101,MATCH(F18,Producción!$E$2:$E$101,0)),"0000")))))</f>
        <v>0027</v>
      </c>
      <c r="K18" s="64" t="s">
        <v>496</v>
      </c>
      <c r="L18" s="65"/>
      <c r="M18" s="64" t="str">
        <f>IF(K18="","",IF(COUNTIF(Producción!$H$2:$H$101,K18)=0,"DISPONIBLE",IF(COUNTIF(Producción!$H$2:$H$101,K18)&gt;1,"DUPLICADA",INDEX(Producción!$A$2:$A$101,MATCH(K18,Producción!$H$2:$H$101,0)))))</f>
        <v>DISPONIBLE</v>
      </c>
      <c r="O18" s="64" t="str">
        <v>TQT-R3-V30-0026</v>
      </c>
    </row>
    <row r="19" spans="1:15" ht="17.7" customHeight="1">
      <c r="A19" s="64" t="s">
        <v>291</v>
      </c>
      <c r="B19" s="64"/>
      <c r="C19" s="65"/>
      <c r="D19" s="65" t="str">
        <f>IF(A19="","",IF(COUNTIF(Producción!$B$2:$B$101,A19)=0,"SUELTA",IF(COUNTIF(Producción!$B$2:$B$101,A19)&gt;1,"DUPLICADA",IF(INDEX(Producción!$E$2:$E$101,MATCH(A19,Producción!$B$2:$B$101,0))="","SUELTA",TEXT(INDEX(Producción!$A$2:$A$101,MATCH(A19,Producción!$B$2:$B$101,0)),"0000")))))</f>
        <v>0027</v>
      </c>
      <c r="E19" s="20"/>
      <c r="F19" s="64" t="s">
        <v>391</v>
      </c>
      <c r="G19" s="64"/>
      <c r="H19" s="65"/>
      <c r="I19" s="65" t="str">
        <f>IF(F19="","",IF(COUNTIF(Producción!$E$2:$E$101,F19)=0,"SUELTA",IF(COUNTIF(Producción!$E$2:$E$101,F19)&gt;1,"DUPLICADA",IF(INDEX(Producción!$B$2:$B$101,MATCH(F19,Producción!$E$2:$E$101,0))="","SUELTA",TEXT(INDEX(Producción!$A$2:$A$101,MATCH(F19,Producción!$E$2:$E$101,0)),"0000")))))</f>
        <v>0028</v>
      </c>
      <c r="K19" s="64" t="s">
        <v>497</v>
      </c>
      <c r="L19" s="65"/>
      <c r="M19" s="64" t="str">
        <f>IF(K19="","",IF(COUNTIF(Producción!$H$2:$H$101,K19)=0,"DISPONIBLE",IF(COUNTIF(Producción!$H$2:$H$101,K19)&gt;1,"DUPLICADA",INDEX(Producción!$A$2:$A$101,MATCH(K19,Producción!$H$2:$H$101,0)))))</f>
        <v>DISPONIBLE</v>
      </c>
      <c r="O19" s="64" t="str">
        <v>TQT-R3-V30-0027</v>
      </c>
    </row>
    <row r="20" spans="1:15" ht="17.7" customHeight="1">
      <c r="A20" s="64" t="s">
        <v>292</v>
      </c>
      <c r="B20" s="64"/>
      <c r="C20" s="65"/>
      <c r="D20" s="65" t="str">
        <f>IF(A20="","",IF(COUNTIF(Producción!$B$2:$B$101,A20)=0,"SUELTA",IF(COUNTIF(Producción!$B$2:$B$101,A20)&gt;1,"DUPLICADA",IF(INDEX(Producción!$E$2:$E$101,MATCH(A20,Producción!$B$2:$B$101,0))="","SUELTA",TEXT(INDEX(Producción!$A$2:$A$101,MATCH(A20,Producción!$B$2:$B$101,0)),"0000")))))</f>
        <v>0028</v>
      </c>
      <c r="E20" s="20"/>
      <c r="F20" s="64" t="s">
        <v>392</v>
      </c>
      <c r="G20" s="64"/>
      <c r="H20" s="65"/>
      <c r="I20" s="65" t="str">
        <f>IF(F20="","",IF(COUNTIF(Producción!$E$2:$E$101,F20)=0,"SUELTA",IF(COUNTIF(Producción!$E$2:$E$101,F20)&gt;1,"DUPLICADA",IF(INDEX(Producción!$B$2:$B$101,MATCH(F20,Producción!$E$2:$E$101,0))="","SUELTA",TEXT(INDEX(Producción!$A$2:$A$101,MATCH(F20,Producción!$E$2:$E$101,0)),"0000")))))</f>
        <v>0029</v>
      </c>
      <c r="K20" s="64" t="s">
        <v>498</v>
      </c>
      <c r="L20" s="65"/>
      <c r="M20" s="64" t="str">
        <f>IF(K20="","",IF(COUNTIF(Producción!$H$2:$H$101,K20)=0,"DISPONIBLE",IF(COUNTIF(Producción!$H$2:$H$101,K20)&gt;1,"DUPLICADA",INDEX(Producción!$A$2:$A$101,MATCH(K20,Producción!$H$2:$H$101,0)))))</f>
        <v>DISPONIBLE</v>
      </c>
      <c r="O20" s="64" t="str">
        <v>TQT-R3-V30-0028</v>
      </c>
    </row>
    <row r="21" spans="1:15" ht="17.7" customHeight="1">
      <c r="A21" s="64" t="s">
        <v>293</v>
      </c>
      <c r="B21" s="64"/>
      <c r="C21" s="65"/>
      <c r="D21" s="65" t="str">
        <f>IF(A21="","",IF(COUNTIF(Producción!$B$2:$B$101,A21)=0,"SUELTA",IF(COUNTIF(Producción!$B$2:$B$101,A21)&gt;1,"DUPLICADA",IF(INDEX(Producción!$E$2:$E$101,MATCH(A21,Producción!$B$2:$B$101,0))="","SUELTA",TEXT(INDEX(Producción!$A$2:$A$101,MATCH(A21,Producción!$B$2:$B$101,0)),"0000")))))</f>
        <v>0029</v>
      </c>
      <c r="E21" s="20"/>
      <c r="F21" s="64" t="s">
        <v>393</v>
      </c>
      <c r="G21" s="64"/>
      <c r="H21" s="65"/>
      <c r="I21" s="65" t="str">
        <f>IF(F21="","",IF(COUNTIF(Producción!$E$2:$E$101,F21)=0,"SUELTA",IF(COUNTIF(Producción!$E$2:$E$101,F21)&gt;1,"DUPLICADA",IF(INDEX(Producción!$B$2:$B$101,MATCH(F21,Producción!$E$2:$E$101,0))="","SUELTA",TEXT(INDEX(Producción!$A$2:$A$101,MATCH(F21,Producción!$E$2:$E$101,0)),"0000")))))</f>
        <v>0030</v>
      </c>
      <c r="K21" s="64" t="s">
        <v>499</v>
      </c>
      <c r="L21" s="65"/>
      <c r="M21" s="64" t="str">
        <f>IF(K21="","",IF(COUNTIF(Producción!$H$2:$H$101,K21)=0,"DISPONIBLE",IF(COUNTIF(Producción!$H$2:$H$101,K21)&gt;1,"DUPLICADA",INDEX(Producción!$A$2:$A$101,MATCH(K21,Producción!$H$2:$H$101,0)))))</f>
        <v>DISPONIBLE</v>
      </c>
      <c r="O21" s="64" t="str">
        <v>TQT-R3-V30-0029</v>
      </c>
    </row>
    <row r="22" spans="1:15" ht="17.7" customHeight="1">
      <c r="A22" s="64" t="s">
        <v>294</v>
      </c>
      <c r="B22" s="64"/>
      <c r="C22" s="65"/>
      <c r="D22" s="65" t="str">
        <f>IF(A22="","",IF(COUNTIF(Producción!$B$2:$B$101,A22)=0,"SUELTA",IF(COUNTIF(Producción!$B$2:$B$101,A22)&gt;1,"DUPLICADA",IF(INDEX(Producción!$E$2:$E$101,MATCH(A22,Producción!$B$2:$B$101,0))="","SUELTA",TEXT(INDEX(Producción!$A$2:$A$101,MATCH(A22,Producción!$B$2:$B$101,0)),"0000")))))</f>
        <v>0030</v>
      </c>
      <c r="E22" s="20"/>
      <c r="F22" s="64" t="s">
        <v>394</v>
      </c>
      <c r="G22" s="64"/>
      <c r="H22" s="65"/>
      <c r="I22" s="65" t="str">
        <f>IF(F22="","",IF(COUNTIF(Producción!$E$2:$E$101,F22)=0,"SUELTA",IF(COUNTIF(Producción!$E$2:$E$101,F22)&gt;1,"DUPLICADA",IF(INDEX(Producción!$B$2:$B$101,MATCH(F22,Producción!$E$2:$E$101,0))="","SUELTA",TEXT(INDEX(Producción!$A$2:$A$101,MATCH(F22,Producción!$E$2:$E$101,0)),"0000")))))</f>
        <v>0031</v>
      </c>
      <c r="K22" s="64" t="s">
        <v>500</v>
      </c>
      <c r="L22" s="65"/>
      <c r="M22" s="64" t="str">
        <f>IF(K22="","",IF(COUNTIF(Producción!$H$2:$H$101,K22)=0,"DISPONIBLE",IF(COUNTIF(Producción!$H$2:$H$101,K22)&gt;1,"DUPLICADA",INDEX(Producción!$A$2:$A$101,MATCH(K22,Producción!$H$2:$H$101,0)))))</f>
        <v>DISPONIBLE</v>
      </c>
      <c r="O22" s="64" t="str">
        <v>TQT-R3-V30-0030</v>
      </c>
    </row>
    <row r="23" spans="1:15" ht="17.7" customHeight="1">
      <c r="A23" s="64" t="s">
        <v>295</v>
      </c>
      <c r="B23" s="64"/>
      <c r="C23" s="65"/>
      <c r="D23" s="65" t="str">
        <f>IF(A23="","",IF(COUNTIF(Producción!$B$2:$B$101,A23)=0,"SUELTA",IF(COUNTIF(Producción!$B$2:$B$101,A23)&gt;1,"DUPLICADA",IF(INDEX(Producción!$E$2:$E$101,MATCH(A23,Producción!$B$2:$B$101,0))="","SUELTA",TEXT(INDEX(Producción!$A$2:$A$101,MATCH(A23,Producción!$B$2:$B$101,0)),"0000")))))</f>
        <v>0031</v>
      </c>
      <c r="E23" s="20"/>
      <c r="F23" s="64" t="s">
        <v>395</v>
      </c>
      <c r="G23" s="64"/>
      <c r="H23" s="65"/>
      <c r="I23" s="65" t="str">
        <f>IF(F23="","",IF(COUNTIF(Producción!$E$2:$E$101,F23)=0,"SUELTA",IF(COUNTIF(Producción!$E$2:$E$101,F23)&gt;1,"DUPLICADA",IF(INDEX(Producción!$B$2:$B$101,MATCH(F23,Producción!$E$2:$E$101,0))="","SUELTA",TEXT(INDEX(Producción!$A$2:$A$101,MATCH(F23,Producción!$E$2:$E$101,0)),"0000")))))</f>
        <v>0032</v>
      </c>
      <c r="K23" s="64" t="s">
        <v>501</v>
      </c>
      <c r="L23" s="65"/>
      <c r="M23" s="64" t="str">
        <f>IF(K23="","",IF(COUNTIF(Producción!$H$2:$H$101,K23)=0,"DISPONIBLE",IF(COUNTIF(Producción!$H$2:$H$101,K23)&gt;1,"DUPLICADA",INDEX(Producción!$A$2:$A$101,MATCH(K23,Producción!$H$2:$H$101,0)))))</f>
        <v>DISPONIBLE</v>
      </c>
      <c r="O23" s="64" t="str">
        <v>TQT-R3-V30-0031</v>
      </c>
    </row>
    <row r="24" spans="1:15" ht="17.7" customHeight="1">
      <c r="A24" s="64" t="s">
        <v>296</v>
      </c>
      <c r="B24" s="64"/>
      <c r="C24" s="65"/>
      <c r="D24" s="65" t="str">
        <f>IF(A24="","",IF(COUNTIF(Producción!$B$2:$B$101,A24)=0,"SUELTA",IF(COUNTIF(Producción!$B$2:$B$101,A24)&gt;1,"DUPLICADA",IF(INDEX(Producción!$E$2:$E$101,MATCH(A24,Producción!$B$2:$B$101,0))="","SUELTA",TEXT(INDEX(Producción!$A$2:$A$101,MATCH(A24,Producción!$B$2:$B$101,0)),"0000")))))</f>
        <v>0032</v>
      </c>
      <c r="E24" s="20"/>
      <c r="F24" s="64" t="s">
        <v>396</v>
      </c>
      <c r="G24" s="64"/>
      <c r="H24" s="65"/>
      <c r="I24" s="65" t="str">
        <f>IF(F24="","",IF(COUNTIF(Producción!$E$2:$E$101,F24)=0,"SUELTA",IF(COUNTIF(Producción!$E$2:$E$101,F24)&gt;1,"DUPLICADA",IF(INDEX(Producción!$B$2:$B$101,MATCH(F24,Producción!$E$2:$E$101,0))="","SUELTA",TEXT(INDEX(Producción!$A$2:$A$101,MATCH(F24,Producción!$E$2:$E$101,0)),"0000")))))</f>
        <v>0033</v>
      </c>
      <c r="K24" s="64" t="s">
        <v>502</v>
      </c>
      <c r="L24" s="65"/>
      <c r="M24" s="64" t="str">
        <f>IF(K24="","",IF(COUNTIF(Producción!$H$2:$H$101,K24)=0,"DISPONIBLE",IF(COUNTIF(Producción!$H$2:$H$101,K24)&gt;1,"DUPLICADA",INDEX(Producción!$A$2:$A$101,MATCH(K24,Producción!$H$2:$H$101,0)))))</f>
        <v>DISPONIBLE</v>
      </c>
      <c r="O24" s="64" t="str">
        <v>TQT-R3-V30-0032</v>
      </c>
    </row>
    <row r="25" spans="1:15" ht="17.7" customHeight="1">
      <c r="A25" s="64" t="s">
        <v>297</v>
      </c>
      <c r="B25" s="64"/>
      <c r="C25" s="65"/>
      <c r="D25" s="65" t="str">
        <f>IF(A25="","",IF(COUNTIF(Producción!$B$2:$B$101,A25)=0,"SUELTA",IF(COUNTIF(Producción!$B$2:$B$101,A25)&gt;1,"DUPLICADA",IF(INDEX(Producción!$E$2:$E$101,MATCH(A25,Producción!$B$2:$B$101,0))="","SUELTA",TEXT(INDEX(Producción!$A$2:$A$101,MATCH(A25,Producción!$B$2:$B$101,0)),"0000")))))</f>
        <v>0033</v>
      </c>
      <c r="E25" s="20"/>
      <c r="F25" s="64" t="s">
        <v>397</v>
      </c>
      <c r="G25" s="64"/>
      <c r="H25" s="65"/>
      <c r="I25" s="65" t="str">
        <f>IF(F25="","",IF(COUNTIF(Producción!$E$2:$E$101,F25)=0,"SUELTA",IF(COUNTIF(Producción!$E$2:$E$101,F25)&gt;1,"DUPLICADA",IF(INDEX(Producción!$B$2:$B$101,MATCH(F25,Producción!$E$2:$E$101,0))="","SUELTA",TEXT(INDEX(Producción!$A$2:$A$101,MATCH(F25,Producción!$E$2:$E$101,0)),"0000")))))</f>
        <v>0034</v>
      </c>
      <c r="K25" s="64" t="s">
        <v>503</v>
      </c>
      <c r="L25" s="65"/>
      <c r="M25" s="64" t="str">
        <f>IF(K25="","",IF(COUNTIF(Producción!$H$2:$H$101,K25)=0,"DISPONIBLE",IF(COUNTIF(Producción!$H$2:$H$101,K25)&gt;1,"DUPLICADA",INDEX(Producción!$A$2:$A$101,MATCH(K25,Producción!$H$2:$H$101,0)))))</f>
        <v>DISPONIBLE</v>
      </c>
      <c r="O25" s="64" t="str">
        <v>TQT-R3-V30-0033</v>
      </c>
    </row>
    <row r="26" spans="1:15" ht="17.7" customHeight="1">
      <c r="A26" s="64" t="s">
        <v>298</v>
      </c>
      <c r="B26" s="64"/>
      <c r="C26" s="65"/>
      <c r="D26" s="65" t="str">
        <f>IF(A26="","",IF(COUNTIF(Producción!$B$2:$B$101,A26)=0,"SUELTA",IF(COUNTIF(Producción!$B$2:$B$101,A26)&gt;1,"DUPLICADA",IF(INDEX(Producción!$E$2:$E$101,MATCH(A26,Producción!$B$2:$B$101,0))="","SUELTA",TEXT(INDEX(Producción!$A$2:$A$101,MATCH(A26,Producción!$B$2:$B$101,0)),"0000")))))</f>
        <v>0034</v>
      </c>
      <c r="E26" s="20"/>
      <c r="F26" s="64" t="s">
        <v>398</v>
      </c>
      <c r="G26" s="64"/>
      <c r="H26" s="65"/>
      <c r="I26" s="65" t="str">
        <f>IF(F26="","",IF(COUNTIF(Producción!$E$2:$E$101,F26)=0,"SUELTA",IF(COUNTIF(Producción!$E$2:$E$101,F26)&gt;1,"DUPLICADA",IF(INDEX(Producción!$B$2:$B$101,MATCH(F26,Producción!$E$2:$E$101,0))="","SUELTA",TEXT(INDEX(Producción!$A$2:$A$101,MATCH(F26,Producción!$E$2:$E$101,0)),"0000")))))</f>
        <v>0035</v>
      </c>
      <c r="K26" s="64" t="s">
        <v>504</v>
      </c>
      <c r="L26" s="65"/>
      <c r="M26" s="64" t="str">
        <f>IF(K26="","",IF(COUNTIF(Producción!$H$2:$H$101,K26)=0,"DISPONIBLE",IF(COUNTIF(Producción!$H$2:$H$101,K26)&gt;1,"DUPLICADA",INDEX(Producción!$A$2:$A$101,MATCH(K26,Producción!$H$2:$H$101,0)))))</f>
        <v>DISPONIBLE</v>
      </c>
      <c r="O26" s="64" t="str">
        <v>TQT-R3-V30-0034</v>
      </c>
    </row>
    <row r="27" spans="1:15" ht="17.7" customHeight="1">
      <c r="A27" s="64" t="s">
        <v>299</v>
      </c>
      <c r="B27" s="64"/>
      <c r="C27" s="65"/>
      <c r="D27" s="65" t="str">
        <f>IF(A27="","",IF(COUNTIF(Producción!$B$2:$B$101,A27)=0,"SUELTA",IF(COUNTIF(Producción!$B$2:$B$101,A27)&gt;1,"DUPLICADA",IF(INDEX(Producción!$E$2:$E$101,MATCH(A27,Producción!$B$2:$B$101,0))="","SUELTA",TEXT(INDEX(Producción!$A$2:$A$101,MATCH(A27,Producción!$B$2:$B$101,0)),"0000")))))</f>
        <v>0035</v>
      </c>
      <c r="E27" s="20"/>
      <c r="F27" s="64" t="s">
        <v>399</v>
      </c>
      <c r="G27" s="64"/>
      <c r="H27" s="65"/>
      <c r="I27" s="65" t="str">
        <f>IF(F27="","",IF(COUNTIF(Producción!$E$2:$E$101,F27)=0,"SUELTA",IF(COUNTIF(Producción!$E$2:$E$101,F27)&gt;1,"DUPLICADA",IF(INDEX(Producción!$B$2:$B$101,MATCH(F27,Producción!$E$2:$E$101,0))="","SUELTA",TEXT(INDEX(Producción!$A$2:$A$101,MATCH(F27,Producción!$E$2:$E$101,0)),"0000")))))</f>
        <v>0037</v>
      </c>
      <c r="K27" s="64" t="s">
        <v>505</v>
      </c>
      <c r="L27" s="65"/>
      <c r="M27" s="64" t="str">
        <f>IF(K27="","",IF(COUNTIF(Producción!$H$2:$H$101,K27)=0,"DISPONIBLE",IF(COUNTIF(Producción!$H$2:$H$101,K27)&gt;1,"DUPLICADA",INDEX(Producción!$A$2:$A$101,MATCH(K27,Producción!$H$2:$H$101,0)))))</f>
        <v>DISPONIBLE</v>
      </c>
      <c r="O27" s="64" t="str">
        <v>TQT-R3-V30-0035</v>
      </c>
    </row>
    <row r="28" spans="1:15" ht="17.7" customHeight="1">
      <c r="A28" s="64" t="s">
        <v>300</v>
      </c>
      <c r="B28" s="64"/>
      <c r="C28" s="65"/>
      <c r="D28" s="65" t="str">
        <f>IF(A28="","",IF(COUNTIF(Producción!$B$2:$B$101,A28)=0,"SUELTA",IF(COUNTIF(Producción!$B$2:$B$101,A28)&gt;1,"DUPLICADA",IF(INDEX(Producción!$E$2:$E$101,MATCH(A28,Producción!$B$2:$B$101,0))="","SUELTA",TEXT(INDEX(Producción!$A$2:$A$101,MATCH(A28,Producción!$B$2:$B$101,0)),"0000")))))</f>
        <v>0036</v>
      </c>
      <c r="E28" s="20"/>
      <c r="F28" s="64" t="s">
        <v>400</v>
      </c>
      <c r="G28" s="64"/>
      <c r="H28" s="65"/>
      <c r="I28" s="65" t="str">
        <f>IF(F28="","",IF(COUNTIF(Producción!$E$2:$E$101,F28)=0,"SUELTA",IF(COUNTIF(Producción!$E$2:$E$101,F28)&gt;1,"DUPLICADA",IF(INDEX(Producción!$B$2:$B$101,MATCH(F28,Producción!$E$2:$E$101,0))="","SUELTA",TEXT(INDEX(Producción!$A$2:$A$101,MATCH(F28,Producción!$E$2:$E$101,0)),"0000")))))</f>
        <v>0039</v>
      </c>
      <c r="K28" s="64" t="s">
        <v>506</v>
      </c>
      <c r="L28" s="65"/>
      <c r="M28" s="64" t="str">
        <f>IF(K28="","",IF(COUNTIF(Producción!$H$2:$H$101,K28)=0,"DISPONIBLE",IF(COUNTIF(Producción!$H$2:$H$101,K28)&gt;1,"DUPLICADA",INDEX(Producción!$A$2:$A$101,MATCH(K28,Producción!$H$2:$H$101,0)))))</f>
        <v>DISPONIBLE</v>
      </c>
      <c r="O28" s="64" t="str">
        <v>TQT-R3-V30-0036</v>
      </c>
    </row>
    <row r="29" spans="1:15" ht="17.7" customHeight="1">
      <c r="A29" s="64" t="s">
        <v>301</v>
      </c>
      <c r="B29" s="64"/>
      <c r="C29" s="65"/>
      <c r="D29" s="65" t="str">
        <f>IF(A29="","",IF(COUNTIF(Producción!$B$2:$B$101,A29)=0,"SUELTA",IF(COUNTIF(Producción!$B$2:$B$101,A29)&gt;1,"DUPLICADA",IF(INDEX(Producción!$E$2:$E$101,MATCH(A29,Producción!$B$2:$B$101,0))="","SUELTA",TEXT(INDEX(Producción!$A$2:$A$101,MATCH(A29,Producción!$B$2:$B$101,0)),"0000")))))</f>
        <v>0037</v>
      </c>
      <c r="E29" s="20"/>
      <c r="F29" s="64" t="s">
        <v>401</v>
      </c>
      <c r="G29" s="64"/>
      <c r="H29" s="65"/>
      <c r="I29" s="65" t="str">
        <f>IF(F29="","",IF(COUNTIF(Producción!$E$2:$E$101,F29)=0,"SUELTA",IF(COUNTIF(Producción!$E$2:$E$101,F29)&gt;1,"DUPLICADA",IF(INDEX(Producción!$B$2:$B$101,MATCH(F29,Producción!$E$2:$E$101,0))="","SUELTA",TEXT(INDEX(Producción!$A$2:$A$101,MATCH(F29,Producción!$E$2:$E$101,0)),"0000")))))</f>
        <v>0040</v>
      </c>
      <c r="K29" s="64" t="s">
        <v>507</v>
      </c>
      <c r="L29" s="65"/>
      <c r="M29" s="64" t="str">
        <f>IF(K29="","",IF(COUNTIF(Producción!$H$2:$H$101,K29)=0,"DISPONIBLE",IF(COUNTIF(Producción!$H$2:$H$101,K29)&gt;1,"DUPLICADA",INDEX(Producción!$A$2:$A$101,MATCH(K29,Producción!$H$2:$H$101,0)))))</f>
        <v>DISPONIBLE</v>
      </c>
      <c r="O29" s="64" t="str">
        <v>TQT-R3-V30-0037</v>
      </c>
    </row>
    <row r="30" spans="1:15" ht="17.7" customHeight="1">
      <c r="A30" s="64" t="s">
        <v>302</v>
      </c>
      <c r="B30" s="64"/>
      <c r="C30" s="65"/>
      <c r="D30" s="65" t="str">
        <f>IF(A30="","",IF(COUNTIF(Producción!$B$2:$B$101,A30)=0,"SUELTA",IF(COUNTIF(Producción!$B$2:$B$101,A30)&gt;1,"DUPLICADA",IF(INDEX(Producción!$E$2:$E$101,MATCH(A30,Producción!$B$2:$B$101,0))="","SUELTA",TEXT(INDEX(Producción!$A$2:$A$101,MATCH(A30,Producción!$B$2:$B$101,0)),"0000")))))</f>
        <v>0038</v>
      </c>
      <c r="E30" s="20"/>
      <c r="F30" s="64" t="s">
        <v>402</v>
      </c>
      <c r="G30" s="64"/>
      <c r="H30" s="65"/>
      <c r="I30" s="65" t="str">
        <f>IF(F30="","",IF(COUNTIF(Producción!$E$2:$E$101,F30)=0,"SUELTA",IF(COUNTIF(Producción!$E$2:$E$101,F30)&gt;1,"DUPLICADA",IF(INDEX(Producción!$B$2:$B$101,MATCH(F30,Producción!$E$2:$E$101,0))="","SUELTA",TEXT(INDEX(Producción!$A$2:$A$101,MATCH(F30,Producción!$E$2:$E$101,0)),"0000")))))</f>
        <v>0041</v>
      </c>
      <c r="K30" s="64" t="s">
        <v>508</v>
      </c>
      <c r="L30" s="65"/>
      <c r="M30" s="64" t="str">
        <f>IF(K30="","",IF(COUNTIF(Producción!$H$2:$H$101,K30)=0,"DISPONIBLE",IF(COUNTIF(Producción!$H$2:$H$101,K30)&gt;1,"DUPLICADA",INDEX(Producción!$A$2:$A$101,MATCH(K30,Producción!$H$2:$H$101,0)))))</f>
        <v>DISPONIBLE</v>
      </c>
      <c r="O30" s="64" t="str">
        <v>TQT-R3-V30-0038</v>
      </c>
    </row>
    <row r="31" spans="1:15" ht="17.7" customHeight="1">
      <c r="A31" s="64" t="s">
        <v>303</v>
      </c>
      <c r="B31" s="64"/>
      <c r="C31" s="65"/>
      <c r="D31" s="65" t="str">
        <f>IF(A31="","",IF(COUNTIF(Producción!$B$2:$B$101,A31)=0,"SUELTA",IF(COUNTIF(Producción!$B$2:$B$101,A31)&gt;1,"DUPLICADA",IF(INDEX(Producción!$E$2:$E$101,MATCH(A31,Producción!$B$2:$B$101,0))="","SUELTA",TEXT(INDEX(Producción!$A$2:$A$101,MATCH(A31,Producción!$B$2:$B$101,0)),"0000")))))</f>
        <v>0039</v>
      </c>
      <c r="E31" s="20"/>
      <c r="F31" s="64" t="s">
        <v>403</v>
      </c>
      <c r="G31" s="64"/>
      <c r="H31" s="65"/>
      <c r="I31" s="65" t="str">
        <f>IF(F31="","",IF(COUNTIF(Producción!$E$2:$E$101,F31)=0,"SUELTA",IF(COUNTIF(Producción!$E$2:$E$101,F31)&gt;1,"DUPLICADA",IF(INDEX(Producción!$B$2:$B$101,MATCH(F31,Producción!$E$2:$E$101,0))="","SUELTA",TEXT(INDEX(Producción!$A$2:$A$101,MATCH(F31,Producción!$E$2:$E$101,0)),"0000")))))</f>
        <v>0042</v>
      </c>
      <c r="K31" s="64" t="s">
        <v>509</v>
      </c>
      <c r="L31" s="65"/>
      <c r="M31" s="64" t="str">
        <f>IF(K31="","",IF(COUNTIF(Producción!$H$2:$H$101,K31)=0,"DISPONIBLE",IF(COUNTIF(Producción!$H$2:$H$101,K31)&gt;1,"DUPLICADA",INDEX(Producción!$A$2:$A$101,MATCH(K31,Producción!$H$2:$H$101,0)))))</f>
        <v>DISPONIBLE</v>
      </c>
      <c r="O31" s="64" t="str">
        <v>TQT-R3-V30-0039</v>
      </c>
    </row>
    <row r="32" spans="1:15" ht="17.7" customHeight="1">
      <c r="A32" s="64" t="s">
        <v>304</v>
      </c>
      <c r="B32" s="64"/>
      <c r="C32" s="65"/>
      <c r="D32" s="65" t="str">
        <f>IF(A32="","",IF(COUNTIF(Producción!$B$2:$B$101,A32)=0,"SUELTA",IF(COUNTIF(Producción!$B$2:$B$101,A32)&gt;1,"DUPLICADA",IF(INDEX(Producción!$E$2:$E$101,MATCH(A32,Producción!$B$2:$B$101,0))="","SUELTA",TEXT(INDEX(Producción!$A$2:$A$101,MATCH(A32,Producción!$B$2:$B$101,0)),"0000")))))</f>
        <v>0040</v>
      </c>
      <c r="E32" s="20"/>
      <c r="F32" s="64" t="s">
        <v>404</v>
      </c>
      <c r="G32" s="64"/>
      <c r="H32" s="65"/>
      <c r="I32" s="65" t="str">
        <f>IF(F32="","",IF(COUNTIF(Producción!$E$2:$E$101,F32)=0,"SUELTA",IF(COUNTIF(Producción!$E$2:$E$101,F32)&gt;1,"DUPLICADA",IF(INDEX(Producción!$B$2:$B$101,MATCH(F32,Producción!$E$2:$E$101,0))="","SUELTA",TEXT(INDEX(Producción!$A$2:$A$101,MATCH(F32,Producción!$E$2:$E$101,0)),"0000")))))</f>
        <v>0043</v>
      </c>
      <c r="K32" s="64" t="s">
        <v>510</v>
      </c>
      <c r="L32" s="65"/>
      <c r="M32" s="64" t="str">
        <f>IF(K32="","",IF(COUNTIF(Producción!$H$2:$H$101,K32)=0,"DISPONIBLE",IF(COUNTIF(Producción!$H$2:$H$101,K32)&gt;1,"DUPLICADA",INDEX(Producción!$A$2:$A$101,MATCH(K32,Producción!$H$2:$H$101,0)))))</f>
        <v>DISPONIBLE</v>
      </c>
      <c r="O32" s="64" t="str">
        <v>TQT-R3-V30-0040</v>
      </c>
    </row>
    <row r="33" spans="1:15" ht="17.7" customHeight="1">
      <c r="A33" s="64" t="s">
        <v>305</v>
      </c>
      <c r="B33" s="64"/>
      <c r="C33" s="65"/>
      <c r="D33" s="65" t="str">
        <f>IF(A33="","",IF(COUNTIF(Producción!$B$2:$B$101,A33)=0,"SUELTA",IF(COUNTIF(Producción!$B$2:$B$101,A33)&gt;1,"DUPLICADA",IF(INDEX(Producción!$E$2:$E$101,MATCH(A33,Producción!$B$2:$B$101,0))="","SUELTA",TEXT(INDEX(Producción!$A$2:$A$101,MATCH(A33,Producción!$B$2:$B$101,0)),"0000")))))</f>
        <v>0041</v>
      </c>
      <c r="E33" s="20"/>
      <c r="F33" s="64" t="s">
        <v>405</v>
      </c>
      <c r="G33" s="64"/>
      <c r="H33" s="65"/>
      <c r="I33" s="65" t="str">
        <f>IF(F33="","",IF(COUNTIF(Producción!$E$2:$E$101,F33)=0,"SUELTA",IF(COUNTIF(Producción!$E$2:$E$101,F33)&gt;1,"DUPLICADA",IF(INDEX(Producción!$B$2:$B$101,MATCH(F33,Producción!$E$2:$E$101,0))="","SUELTA",TEXT(INDEX(Producción!$A$2:$A$101,MATCH(F33,Producción!$E$2:$E$101,0)),"0000")))))</f>
        <v>0044</v>
      </c>
      <c r="K33" s="64" t="s">
        <v>511</v>
      </c>
      <c r="L33" s="65"/>
      <c r="M33" s="64" t="str">
        <f>IF(K33="","",IF(COUNTIF(Producción!$H$2:$H$101,K33)=0,"DISPONIBLE",IF(COUNTIF(Producción!$H$2:$H$101,K33)&gt;1,"DUPLICADA",INDEX(Producción!$A$2:$A$101,MATCH(K33,Producción!$H$2:$H$101,0)))))</f>
        <v>DISPONIBLE</v>
      </c>
      <c r="O33" s="64" t="str">
        <v>TQT-R3-V30-0041</v>
      </c>
    </row>
    <row r="34" spans="1:15" ht="17.7" customHeight="1">
      <c r="A34" s="64" t="s">
        <v>306</v>
      </c>
      <c r="B34" s="64"/>
      <c r="C34" s="65"/>
      <c r="D34" s="65" t="str">
        <f>IF(A34="","",IF(COUNTIF(Producción!$B$2:$B$101,A34)=0,"SUELTA",IF(COUNTIF(Producción!$B$2:$B$101,A34)&gt;1,"DUPLICADA",IF(INDEX(Producción!$E$2:$E$101,MATCH(A34,Producción!$B$2:$B$101,0))="","SUELTA",TEXT(INDEX(Producción!$A$2:$A$101,MATCH(A34,Producción!$B$2:$B$101,0)),"0000")))))</f>
        <v>0042</v>
      </c>
      <c r="E34" s="20"/>
      <c r="F34" s="64" t="s">
        <v>406</v>
      </c>
      <c r="G34" s="64"/>
      <c r="H34" s="65"/>
      <c r="I34" s="65" t="str">
        <f>IF(F34="","",IF(COUNTIF(Producción!$E$2:$E$101,F34)=0,"SUELTA",IF(COUNTIF(Producción!$E$2:$E$101,F34)&gt;1,"DUPLICADA",IF(INDEX(Producción!$B$2:$B$101,MATCH(F34,Producción!$E$2:$E$101,0))="","SUELTA",TEXT(INDEX(Producción!$A$2:$A$101,MATCH(F34,Producción!$E$2:$E$101,0)),"0000")))))</f>
        <v>0045</v>
      </c>
      <c r="K34" s="64" t="s">
        <v>512</v>
      </c>
      <c r="L34" s="65"/>
      <c r="M34" s="64" t="str">
        <f>IF(K34="","",IF(COUNTIF(Producción!$H$2:$H$101,K34)=0,"DISPONIBLE",IF(COUNTIF(Producción!$H$2:$H$101,K34)&gt;1,"DUPLICADA",INDEX(Producción!$A$2:$A$101,MATCH(K34,Producción!$H$2:$H$101,0)))))</f>
        <v>DISPONIBLE</v>
      </c>
      <c r="O34" s="64" t="str">
        <v>TQT-R3-V30-0042</v>
      </c>
    </row>
    <row r="35" spans="1:15" ht="17.7" customHeight="1">
      <c r="A35" s="64" t="s">
        <v>307</v>
      </c>
      <c r="B35" s="64"/>
      <c r="C35" s="65"/>
      <c r="D35" s="65" t="str">
        <f>IF(A35="","",IF(COUNTIF(Producción!$B$2:$B$101,A35)=0,"SUELTA",IF(COUNTIF(Producción!$B$2:$B$101,A35)&gt;1,"DUPLICADA",IF(INDEX(Producción!$E$2:$E$101,MATCH(A35,Producción!$B$2:$B$101,0))="","SUELTA",TEXT(INDEX(Producción!$A$2:$A$101,MATCH(A35,Producción!$B$2:$B$101,0)),"0000")))))</f>
        <v>0043</v>
      </c>
      <c r="E35" s="20"/>
      <c r="F35" s="64" t="s">
        <v>407</v>
      </c>
      <c r="G35" s="64"/>
      <c r="H35" s="65"/>
      <c r="I35" s="65" t="str">
        <f>IF(F35="","",IF(COUNTIF(Producción!$E$2:$E$101,F35)=0,"SUELTA",IF(COUNTIF(Producción!$E$2:$E$101,F35)&gt;1,"DUPLICADA",IF(INDEX(Producción!$B$2:$B$101,MATCH(F35,Producción!$E$2:$E$101,0))="","SUELTA",TEXT(INDEX(Producción!$A$2:$A$101,MATCH(F35,Producción!$E$2:$E$101,0)),"0000")))))</f>
        <v>0046</v>
      </c>
      <c r="K35" s="64" t="s">
        <v>513</v>
      </c>
      <c r="L35" s="65"/>
      <c r="M35" s="64" t="str">
        <f>IF(K35="","",IF(COUNTIF(Producción!$H$2:$H$101,K35)=0,"DISPONIBLE",IF(COUNTIF(Producción!$H$2:$H$101,K35)&gt;1,"DUPLICADA",INDEX(Producción!$A$2:$A$101,MATCH(K35,Producción!$H$2:$H$101,0)))))</f>
        <v>DISPONIBLE</v>
      </c>
      <c r="O35" s="64" t="str">
        <v>TQT-R3-V30-0043</v>
      </c>
    </row>
    <row r="36" spans="1:15" ht="17.7" customHeight="1">
      <c r="A36" s="64" t="s">
        <v>308</v>
      </c>
      <c r="B36" s="64"/>
      <c r="C36" s="65"/>
      <c r="D36" s="65" t="str">
        <f>IF(A36="","",IF(COUNTIF(Producción!$B$2:$B$101,A36)=0,"SUELTA",IF(COUNTIF(Producción!$B$2:$B$101,A36)&gt;1,"DUPLICADA",IF(INDEX(Producción!$E$2:$E$101,MATCH(A36,Producción!$B$2:$B$101,0))="","SUELTA",TEXT(INDEX(Producción!$A$2:$A$101,MATCH(A36,Producción!$B$2:$B$101,0)),"0000")))))</f>
        <v>0044</v>
      </c>
      <c r="E36" s="20"/>
      <c r="F36" s="64" t="s">
        <v>408</v>
      </c>
      <c r="G36" s="64"/>
      <c r="H36" s="65"/>
      <c r="I36" s="65" t="str">
        <f>IF(F36="","",IF(COUNTIF(Producción!$E$2:$E$101,F36)=0,"SUELTA",IF(COUNTIF(Producción!$E$2:$E$101,F36)&gt;1,"DUPLICADA",IF(INDEX(Producción!$B$2:$B$101,MATCH(F36,Producción!$E$2:$E$101,0))="","SUELTA",TEXT(INDEX(Producción!$A$2:$A$101,MATCH(F36,Producción!$E$2:$E$101,0)),"0000")))))</f>
        <v>0047</v>
      </c>
      <c r="K36" s="64" t="s">
        <v>514</v>
      </c>
      <c r="L36" s="65"/>
      <c r="M36" s="64" t="str">
        <f>IF(K36="","",IF(COUNTIF(Producción!$H$2:$H$101,K36)=0,"DISPONIBLE",IF(COUNTIF(Producción!$H$2:$H$101,K36)&gt;1,"DUPLICADA",INDEX(Producción!$A$2:$A$101,MATCH(K36,Producción!$H$2:$H$101,0)))))</f>
        <v>DISPONIBLE</v>
      </c>
      <c r="O36" s="64" t="str">
        <v>TQT-R3-V30-0044</v>
      </c>
    </row>
    <row r="37" spans="1:15" ht="17.7" customHeight="1">
      <c r="A37" s="64" t="s">
        <v>309</v>
      </c>
      <c r="B37" s="64"/>
      <c r="C37" s="65"/>
      <c r="D37" s="65" t="str">
        <f>IF(A37="","",IF(COUNTIF(Producción!$B$2:$B$101,A37)=0,"SUELTA",IF(COUNTIF(Producción!$B$2:$B$101,A37)&gt;1,"DUPLICADA",IF(INDEX(Producción!$E$2:$E$101,MATCH(A37,Producción!$B$2:$B$101,0))="","SUELTA",TEXT(INDEX(Producción!$A$2:$A$101,MATCH(A37,Producción!$B$2:$B$101,0)),"0000")))))</f>
        <v>0045</v>
      </c>
      <c r="E37" s="20"/>
      <c r="F37" s="64" t="s">
        <v>409</v>
      </c>
      <c r="G37" s="64"/>
      <c r="H37" s="65"/>
      <c r="I37" s="65" t="str">
        <f>IF(F37="","",IF(COUNTIF(Producción!$E$2:$E$101,F37)=0,"SUELTA",IF(COUNTIF(Producción!$E$2:$E$101,F37)&gt;1,"DUPLICADA",IF(INDEX(Producción!$B$2:$B$101,MATCH(F37,Producción!$E$2:$E$101,0))="","SUELTA",TEXT(INDEX(Producción!$A$2:$A$101,MATCH(F37,Producción!$E$2:$E$101,0)),"0000")))))</f>
        <v>0048</v>
      </c>
      <c r="K37" s="64" t="s">
        <v>515</v>
      </c>
      <c r="L37" s="65"/>
      <c r="M37" s="64" t="str">
        <f>IF(K37="","",IF(COUNTIF(Producción!$H$2:$H$101,K37)=0,"DISPONIBLE",IF(COUNTIF(Producción!$H$2:$H$101,K37)&gt;1,"DUPLICADA",INDEX(Producción!$A$2:$A$101,MATCH(K37,Producción!$H$2:$H$101,0)))))</f>
        <v>DISPONIBLE</v>
      </c>
      <c r="O37" s="64" t="str">
        <v>TQT-R3-V30-0045</v>
      </c>
    </row>
    <row r="38" spans="1:15" ht="17.7" customHeight="1">
      <c r="A38" s="64" t="s">
        <v>310</v>
      </c>
      <c r="B38" s="64"/>
      <c r="C38" s="65"/>
      <c r="D38" s="65" t="str">
        <f>IF(A38="","",IF(COUNTIF(Producción!$B$2:$B$101,A38)=0,"SUELTA",IF(COUNTIF(Producción!$B$2:$B$101,A38)&gt;1,"DUPLICADA",IF(INDEX(Producción!$E$2:$E$101,MATCH(A38,Producción!$B$2:$B$101,0))="","SUELTA",TEXT(INDEX(Producción!$A$2:$A$101,MATCH(A38,Producción!$B$2:$B$101,0)),"0000")))))</f>
        <v>0046</v>
      </c>
      <c r="E38" s="20"/>
      <c r="F38" s="64" t="s">
        <v>410</v>
      </c>
      <c r="G38" s="64"/>
      <c r="H38" s="65"/>
      <c r="I38" s="65" t="str">
        <f>IF(F38="","",IF(COUNTIF(Producción!$E$2:$E$101,F38)=0,"SUELTA",IF(COUNTIF(Producción!$E$2:$E$101,F38)&gt;1,"DUPLICADA",IF(INDEX(Producción!$B$2:$B$101,MATCH(F38,Producción!$E$2:$E$101,0))="","SUELTA",TEXT(INDEX(Producción!$A$2:$A$101,MATCH(F38,Producción!$E$2:$E$101,0)),"0000")))))</f>
        <v>0049</v>
      </c>
      <c r="K38" s="64" t="s">
        <v>516</v>
      </c>
      <c r="L38" s="65"/>
      <c r="M38" s="64" t="str">
        <f>IF(K38="","",IF(COUNTIF(Producción!$H$2:$H$101,K38)=0,"DISPONIBLE",IF(COUNTIF(Producción!$H$2:$H$101,K38)&gt;1,"DUPLICADA",INDEX(Producción!$A$2:$A$101,MATCH(K38,Producción!$H$2:$H$101,0)))))</f>
        <v>DISPONIBLE</v>
      </c>
      <c r="O38" s="64" t="str">
        <v>TQT-R3-V30-0046</v>
      </c>
    </row>
    <row r="39" spans="1:15" ht="17.7" customHeight="1">
      <c r="A39" s="64" t="s">
        <v>311</v>
      </c>
      <c r="B39" s="64"/>
      <c r="C39" s="65"/>
      <c r="D39" s="65" t="str">
        <f>IF(A39="","",IF(COUNTIF(Producción!$B$2:$B$101,A39)=0,"SUELTA",IF(COUNTIF(Producción!$B$2:$B$101,A39)&gt;1,"DUPLICADA",IF(INDEX(Producción!$E$2:$E$101,MATCH(A39,Producción!$B$2:$B$101,0))="","SUELTA",TEXT(INDEX(Producción!$A$2:$A$101,MATCH(A39,Producción!$B$2:$B$101,0)),"0000")))))</f>
        <v>0047</v>
      </c>
      <c r="E39" s="20"/>
      <c r="F39" s="64" t="s">
        <v>411</v>
      </c>
      <c r="G39" s="64"/>
      <c r="H39" s="65"/>
      <c r="I39" s="65" t="str">
        <f>IF(F39="","",IF(COUNTIF(Producción!$E$2:$E$101,F39)=0,"SUELTA",IF(COUNTIF(Producción!$E$2:$E$101,F39)&gt;1,"DUPLICADA",IF(INDEX(Producción!$B$2:$B$101,MATCH(F39,Producción!$E$2:$E$101,0))="","SUELTA",TEXT(INDEX(Producción!$A$2:$A$101,MATCH(F39,Producción!$E$2:$E$101,0)),"0000")))))</f>
        <v>0050</v>
      </c>
      <c r="K39" s="64" t="s">
        <v>517</v>
      </c>
      <c r="L39" s="65"/>
      <c r="M39" s="64" t="str">
        <f>IF(K39="","",IF(COUNTIF(Producción!$H$2:$H$101,K39)=0,"DISPONIBLE",IF(COUNTIF(Producción!$H$2:$H$101,K39)&gt;1,"DUPLICADA",INDEX(Producción!$A$2:$A$101,MATCH(K39,Producción!$H$2:$H$101,0)))))</f>
        <v>DISPONIBLE</v>
      </c>
      <c r="O39" s="64" t="str">
        <v>TQT-R3-V30-0047</v>
      </c>
    </row>
    <row r="40" spans="1:15" ht="17.7" customHeight="1">
      <c r="A40" s="64" t="s">
        <v>312</v>
      </c>
      <c r="B40" s="64"/>
      <c r="C40" s="65"/>
      <c r="D40" s="65" t="str">
        <f>IF(A40="","",IF(COUNTIF(Producción!$B$2:$B$101,A40)=0,"SUELTA",IF(COUNTIF(Producción!$B$2:$B$101,A40)&gt;1,"DUPLICADA",IF(INDEX(Producción!$E$2:$E$101,MATCH(A40,Producción!$B$2:$B$101,0))="","SUELTA",TEXT(INDEX(Producción!$A$2:$A$101,MATCH(A40,Producción!$B$2:$B$101,0)),"0000")))))</f>
        <v>0048</v>
      </c>
      <c r="E40" s="20"/>
      <c r="F40" s="64" t="s">
        <v>412</v>
      </c>
      <c r="G40" s="64"/>
      <c r="H40" s="65"/>
      <c r="I40" s="65" t="str">
        <f>IF(F40="","",IF(COUNTIF(Producción!$E$2:$E$101,F40)=0,"SUELTA",IF(COUNTIF(Producción!$E$2:$E$101,F40)&gt;1,"DUPLICADA",IF(INDEX(Producción!$B$2:$B$101,MATCH(F40,Producción!$E$2:$E$101,0))="","SUELTA",TEXT(INDEX(Producción!$A$2:$A$101,MATCH(F40,Producción!$E$2:$E$101,0)),"0000")))))</f>
        <v>0051</v>
      </c>
      <c r="K40" s="64" t="s">
        <v>518</v>
      </c>
      <c r="L40" s="65"/>
      <c r="M40" s="64" t="str">
        <f>IF(K40="","",IF(COUNTIF(Producción!$H$2:$H$101,K40)=0,"DISPONIBLE",IF(COUNTIF(Producción!$H$2:$H$101,K40)&gt;1,"DUPLICADA",INDEX(Producción!$A$2:$A$101,MATCH(K40,Producción!$H$2:$H$101,0)))))</f>
        <v>DISPONIBLE</v>
      </c>
      <c r="O40" s="64" t="str">
        <v>TQT-R3-V30-0048</v>
      </c>
    </row>
    <row r="41" spans="1:15" ht="17.7" customHeight="1">
      <c r="A41" s="64" t="s">
        <v>313</v>
      </c>
      <c r="B41" s="64"/>
      <c r="C41" s="65"/>
      <c r="D41" s="65" t="str">
        <f>IF(A41="","",IF(COUNTIF(Producción!$B$2:$B$101,A41)=0,"SUELTA",IF(COUNTIF(Producción!$B$2:$B$101,A41)&gt;1,"DUPLICADA",IF(INDEX(Producción!$E$2:$E$101,MATCH(A41,Producción!$B$2:$B$101,0))="","SUELTA",TEXT(INDEX(Producción!$A$2:$A$101,MATCH(A41,Producción!$B$2:$B$101,0)),"0000")))))</f>
        <v>0049</v>
      </c>
      <c r="E41" s="20"/>
      <c r="F41" s="64" t="s">
        <v>413</v>
      </c>
      <c r="G41" s="64"/>
      <c r="H41" s="65"/>
      <c r="I41" s="65" t="str">
        <f>IF(F41="","",IF(COUNTIF(Producción!$E$2:$E$101,F41)=0,"SUELTA",IF(COUNTIF(Producción!$E$2:$E$101,F41)&gt;1,"DUPLICADA",IF(INDEX(Producción!$B$2:$B$101,MATCH(F41,Producción!$E$2:$E$101,0))="","SUELTA",TEXT(INDEX(Producción!$A$2:$A$101,MATCH(F41,Producción!$E$2:$E$101,0)),"0000")))))</f>
        <v>0052</v>
      </c>
      <c r="K41" s="64" t="s">
        <v>519</v>
      </c>
      <c r="L41" s="65"/>
      <c r="M41" s="64" t="str">
        <f>IF(K41="","",IF(COUNTIF(Producción!$H$2:$H$101,K41)=0,"DISPONIBLE",IF(COUNTIF(Producción!$H$2:$H$101,K41)&gt;1,"DUPLICADA",INDEX(Producción!$A$2:$A$101,MATCH(K41,Producción!$H$2:$H$101,0)))))</f>
        <v>DISPONIBLE</v>
      </c>
      <c r="O41" s="64" t="str">
        <v>TQT-R3-V30-0049</v>
      </c>
    </row>
    <row r="42" spans="1:15" ht="17.7" customHeight="1">
      <c r="A42" s="64" t="s">
        <v>314</v>
      </c>
      <c r="B42" s="64"/>
      <c r="C42" s="65"/>
      <c r="D42" s="65" t="str">
        <f>IF(A42="","",IF(COUNTIF(Producción!$B$2:$B$101,A42)=0,"SUELTA",IF(COUNTIF(Producción!$B$2:$B$101,A42)&gt;1,"DUPLICADA",IF(INDEX(Producción!$E$2:$E$101,MATCH(A42,Producción!$B$2:$B$101,0))="","SUELTA",TEXT(INDEX(Producción!$A$2:$A$101,MATCH(A42,Producción!$B$2:$B$101,0)),"0000")))))</f>
        <v>0050</v>
      </c>
      <c r="E42" s="20"/>
      <c r="F42" s="64" t="s">
        <v>414</v>
      </c>
      <c r="G42" s="64"/>
      <c r="H42" s="65"/>
      <c r="I42" s="65" t="str">
        <f>IF(F42="","",IF(COUNTIF(Producción!$E$2:$E$101,F42)=0,"SUELTA",IF(COUNTIF(Producción!$E$2:$E$101,F42)&gt;1,"DUPLICADA",IF(INDEX(Producción!$B$2:$B$101,MATCH(F42,Producción!$E$2:$E$101,0))="","SUELTA",TEXT(INDEX(Producción!$A$2:$A$101,MATCH(F42,Producción!$E$2:$E$101,0)),"0000")))))</f>
        <v>0053</v>
      </c>
      <c r="K42" s="64" t="s">
        <v>520</v>
      </c>
      <c r="L42" s="65"/>
      <c r="M42" s="64" t="str">
        <f>IF(K42="","",IF(COUNTIF(Producción!$H$2:$H$101,K42)=0,"DISPONIBLE",IF(COUNTIF(Producción!$H$2:$H$101,K42)&gt;1,"DUPLICADA",INDEX(Producción!$A$2:$A$101,MATCH(K42,Producción!$H$2:$H$101,0)))))</f>
        <v>DISPONIBLE</v>
      </c>
      <c r="O42" s="64" t="str">
        <v>TQT-R3-V30-0050</v>
      </c>
    </row>
    <row r="43" spans="1:15" ht="17.7" customHeight="1">
      <c r="A43" s="64" t="s">
        <v>315</v>
      </c>
      <c r="B43" s="64"/>
      <c r="C43" s="65"/>
      <c r="D43" s="65" t="str">
        <f>IF(A43="","",IF(COUNTIF(Producción!$B$2:$B$101,A43)=0,"SUELTA",IF(COUNTIF(Producción!$B$2:$B$101,A43)&gt;1,"DUPLICADA",IF(INDEX(Producción!$E$2:$E$101,MATCH(A43,Producción!$B$2:$B$101,0))="","SUELTA",TEXT(INDEX(Producción!$A$2:$A$101,MATCH(A43,Producción!$B$2:$B$101,0)),"0000")))))</f>
        <v>0051</v>
      </c>
      <c r="E43" s="20"/>
      <c r="F43" s="64" t="s">
        <v>415</v>
      </c>
      <c r="G43" s="64"/>
      <c r="H43" s="65"/>
      <c r="I43" s="65" t="str">
        <f>IF(F43="","",IF(COUNTIF(Producción!$E$2:$E$101,F43)=0,"SUELTA",IF(COUNTIF(Producción!$E$2:$E$101,F43)&gt;1,"DUPLICADA",IF(INDEX(Producción!$B$2:$B$101,MATCH(F43,Producción!$E$2:$E$101,0))="","SUELTA",TEXT(INDEX(Producción!$A$2:$A$101,MATCH(F43,Producción!$E$2:$E$101,0)),"0000")))))</f>
        <v>0054</v>
      </c>
      <c r="K43" s="64" t="s">
        <v>521</v>
      </c>
      <c r="L43" s="65"/>
      <c r="M43" s="64" t="str">
        <f>IF(K43="","",IF(COUNTIF(Producción!$H$2:$H$101,K43)=0,"DISPONIBLE",IF(COUNTIF(Producción!$H$2:$H$101,K43)&gt;1,"DUPLICADA",INDEX(Producción!$A$2:$A$101,MATCH(K43,Producción!$H$2:$H$101,0)))))</f>
        <v>DISPONIBLE</v>
      </c>
      <c r="O43" s="64" t="str">
        <v>TQT-R3-V30-0051</v>
      </c>
    </row>
    <row r="44" spans="1:15" ht="17.7" customHeight="1">
      <c r="A44" s="64" t="s">
        <v>316</v>
      </c>
      <c r="B44" s="64"/>
      <c r="C44" s="65"/>
      <c r="D44" s="65" t="str">
        <f>IF(A44="","",IF(COUNTIF(Producción!$B$2:$B$101,A44)=0,"SUELTA",IF(COUNTIF(Producción!$B$2:$B$101,A44)&gt;1,"DUPLICADA",IF(INDEX(Producción!$E$2:$E$101,MATCH(A44,Producción!$B$2:$B$101,0))="","SUELTA",TEXT(INDEX(Producción!$A$2:$A$101,MATCH(A44,Producción!$B$2:$B$101,0)),"0000")))))</f>
        <v>0052</v>
      </c>
      <c r="E44" s="20"/>
      <c r="F44" s="64" t="s">
        <v>416</v>
      </c>
      <c r="G44" s="64"/>
      <c r="H44" s="65"/>
      <c r="I44" s="65" t="str">
        <f>IF(F44="","",IF(COUNTIF(Producción!$E$2:$E$101,F44)=0,"SUELTA",IF(COUNTIF(Producción!$E$2:$E$101,F44)&gt;1,"DUPLICADA",IF(INDEX(Producción!$B$2:$B$101,MATCH(F44,Producción!$E$2:$E$101,0))="","SUELTA",TEXT(INDEX(Producción!$A$2:$A$101,MATCH(F44,Producción!$E$2:$E$101,0)),"0000")))))</f>
        <v>0055</v>
      </c>
      <c r="K44" s="64" t="s">
        <v>522</v>
      </c>
      <c r="L44" s="65"/>
      <c r="M44" s="64" t="str">
        <f>IF(K44="","",IF(COUNTIF(Producción!$H$2:$H$101,K44)=0,"DISPONIBLE",IF(COUNTIF(Producción!$H$2:$H$101,K44)&gt;1,"DUPLICADA",INDEX(Producción!$A$2:$A$101,MATCH(K44,Producción!$H$2:$H$101,0)))))</f>
        <v>DISPONIBLE</v>
      </c>
      <c r="O44" s="64" t="str">
        <v>TQT-R3-V30-0052</v>
      </c>
    </row>
    <row r="45" spans="1:15" ht="17.7" customHeight="1">
      <c r="A45" s="64" t="s">
        <v>317</v>
      </c>
      <c r="B45" s="64"/>
      <c r="C45" s="65"/>
      <c r="D45" s="65" t="str">
        <f>IF(A45="","",IF(COUNTIF(Producción!$B$2:$B$101,A45)=0,"SUELTA",IF(COUNTIF(Producción!$B$2:$B$101,A45)&gt;1,"DUPLICADA",IF(INDEX(Producción!$E$2:$E$101,MATCH(A45,Producción!$B$2:$B$101,0))="","SUELTA",TEXT(INDEX(Producción!$A$2:$A$101,MATCH(A45,Producción!$B$2:$B$101,0)),"0000")))))</f>
        <v>0053</v>
      </c>
      <c r="E45" s="20"/>
      <c r="F45" s="64" t="s">
        <v>417</v>
      </c>
      <c r="G45" s="64"/>
      <c r="H45" s="65"/>
      <c r="I45" s="65" t="str">
        <f>IF(F45="","",IF(COUNTIF(Producción!$E$2:$E$101,F45)=0,"SUELTA",IF(COUNTIF(Producción!$E$2:$E$101,F45)&gt;1,"DUPLICADA",IF(INDEX(Producción!$B$2:$B$101,MATCH(F45,Producción!$E$2:$E$101,0))="","SUELTA",TEXT(INDEX(Producción!$A$2:$A$101,MATCH(F45,Producción!$E$2:$E$101,0)),"0000")))))</f>
        <v>0056</v>
      </c>
      <c r="K45" s="64" t="s">
        <v>523</v>
      </c>
      <c r="L45" s="65"/>
      <c r="M45" s="64" t="str">
        <f>IF(K45="","",IF(COUNTIF(Producción!$H$2:$H$101,K45)=0,"DISPONIBLE",IF(COUNTIF(Producción!$H$2:$H$101,K45)&gt;1,"DUPLICADA",INDEX(Producción!$A$2:$A$101,MATCH(K45,Producción!$H$2:$H$101,0)))))</f>
        <v>DISPONIBLE</v>
      </c>
      <c r="O45" s="64" t="str">
        <v>TQT-R3-V30-0053</v>
      </c>
    </row>
    <row r="46" spans="1:15" ht="17.7" customHeight="1">
      <c r="A46" s="64" t="s">
        <v>318</v>
      </c>
      <c r="B46" s="64"/>
      <c r="C46" s="65"/>
      <c r="D46" s="65" t="str">
        <f>IF(A46="","",IF(COUNTIF(Producción!$B$2:$B$101,A46)=0,"SUELTA",IF(COUNTIF(Producción!$B$2:$B$101,A46)&gt;1,"DUPLICADA",IF(INDEX(Producción!$E$2:$E$101,MATCH(A46,Producción!$B$2:$B$101,0))="","SUELTA",TEXT(INDEX(Producción!$A$2:$A$101,MATCH(A46,Producción!$B$2:$B$101,0)),"0000")))))</f>
        <v>0054</v>
      </c>
      <c r="E46" s="20"/>
      <c r="F46" s="64" t="s">
        <v>418</v>
      </c>
      <c r="G46" s="64"/>
      <c r="H46" s="65"/>
      <c r="I46" s="65" t="str">
        <f>IF(F46="","",IF(COUNTIF(Producción!$E$2:$E$101,F46)=0,"SUELTA",IF(COUNTIF(Producción!$E$2:$E$101,F46)&gt;1,"DUPLICADA",IF(INDEX(Producción!$B$2:$B$101,MATCH(F46,Producción!$E$2:$E$101,0))="","SUELTA",TEXT(INDEX(Producción!$A$2:$A$101,MATCH(F46,Producción!$E$2:$E$101,0)),"0000")))))</f>
        <v>0057</v>
      </c>
      <c r="K46" s="64" t="s">
        <v>524</v>
      </c>
      <c r="L46" s="65"/>
      <c r="M46" s="64" t="str">
        <f>IF(K46="","",IF(COUNTIF(Producción!$H$2:$H$101,K46)=0,"DISPONIBLE",IF(COUNTIF(Producción!$H$2:$H$101,K46)&gt;1,"DUPLICADA",INDEX(Producción!$A$2:$A$101,MATCH(K46,Producción!$H$2:$H$101,0)))))</f>
        <v>DISPONIBLE</v>
      </c>
      <c r="O46" s="64" t="str">
        <v>TQT-R3-V30-0054</v>
      </c>
    </row>
    <row r="47" spans="1:15" ht="17.7" customHeight="1">
      <c r="A47" s="64" t="s">
        <v>319</v>
      </c>
      <c r="B47" s="64"/>
      <c r="C47" s="65"/>
      <c r="D47" s="65" t="str">
        <f>IF(A47="","",IF(COUNTIF(Producción!$B$2:$B$101,A47)=0,"SUELTA",IF(COUNTIF(Producción!$B$2:$B$101,A47)&gt;1,"DUPLICADA",IF(INDEX(Producción!$E$2:$E$101,MATCH(A47,Producción!$B$2:$B$101,0))="","SUELTA",TEXT(INDEX(Producción!$A$2:$A$101,MATCH(A47,Producción!$B$2:$B$101,0)),"0000")))))</f>
        <v>0055</v>
      </c>
      <c r="E47" s="20"/>
      <c r="F47" s="64" t="s">
        <v>419</v>
      </c>
      <c r="G47" s="64"/>
      <c r="H47" s="65"/>
      <c r="I47" s="65" t="str">
        <f>IF(F47="","",IF(COUNTIF(Producción!$E$2:$E$101,F47)=0,"SUELTA",IF(COUNTIF(Producción!$E$2:$E$101,F47)&gt;1,"DUPLICADA",IF(INDEX(Producción!$B$2:$B$101,MATCH(F47,Producción!$E$2:$E$101,0))="","SUELTA",TEXT(INDEX(Producción!$A$2:$A$101,MATCH(F47,Producción!$E$2:$E$101,0)),"0000")))))</f>
        <v>0058</v>
      </c>
      <c r="K47" s="64" t="s">
        <v>525</v>
      </c>
      <c r="L47" s="65"/>
      <c r="M47" s="64" t="str">
        <f>IF(K47="","",IF(COUNTIF(Producción!$H$2:$H$101,K47)=0,"DISPONIBLE",IF(COUNTIF(Producción!$H$2:$H$101,K47)&gt;1,"DUPLICADA",INDEX(Producción!$A$2:$A$101,MATCH(K47,Producción!$H$2:$H$101,0)))))</f>
        <v>DISPONIBLE</v>
      </c>
      <c r="O47" s="64" t="str">
        <v>TQT-R3-V30-0055</v>
      </c>
    </row>
    <row r="48" spans="1:15" ht="17.7" customHeight="1">
      <c r="A48" s="64" t="s">
        <v>320</v>
      </c>
      <c r="B48" s="64"/>
      <c r="C48" s="65"/>
      <c r="D48" s="65" t="str">
        <f>IF(A48="","",IF(COUNTIF(Producción!$B$2:$B$101,A48)=0,"SUELTA",IF(COUNTIF(Producción!$B$2:$B$101,A48)&gt;1,"DUPLICADA",IF(INDEX(Producción!$E$2:$E$101,MATCH(A48,Producción!$B$2:$B$101,0))="","SUELTA",TEXT(INDEX(Producción!$A$2:$A$101,MATCH(A48,Producción!$B$2:$B$101,0)),"0000")))))</f>
        <v>0056</v>
      </c>
      <c r="E48" s="20"/>
      <c r="F48" s="64" t="s">
        <v>420</v>
      </c>
      <c r="G48" s="64"/>
      <c r="H48" s="65"/>
      <c r="I48" s="65" t="str">
        <f>IF(F48="","",IF(COUNTIF(Producción!$E$2:$E$101,F48)=0,"SUELTA",IF(COUNTIF(Producción!$E$2:$E$101,F48)&gt;1,"DUPLICADA",IF(INDEX(Producción!$B$2:$B$101,MATCH(F48,Producción!$E$2:$E$101,0))="","SUELTA",TEXT(INDEX(Producción!$A$2:$A$101,MATCH(F48,Producción!$E$2:$E$101,0)),"0000")))))</f>
        <v>0059</v>
      </c>
      <c r="K48" s="64" t="s">
        <v>526</v>
      </c>
      <c r="L48" s="65"/>
      <c r="M48" s="64" t="str">
        <f>IF(K48="","",IF(COUNTIF(Producción!$H$2:$H$101,K48)=0,"DISPONIBLE",IF(COUNTIF(Producción!$H$2:$H$101,K48)&gt;1,"DUPLICADA",INDEX(Producción!$A$2:$A$101,MATCH(K48,Producción!$H$2:$H$101,0)))))</f>
        <v>DISPONIBLE</v>
      </c>
      <c r="O48" s="64" t="str">
        <v>TQT-R3-V30-0056</v>
      </c>
    </row>
    <row r="49" spans="1:15" ht="17.7" customHeight="1">
      <c r="A49" s="64" t="s">
        <v>321</v>
      </c>
      <c r="B49" s="64"/>
      <c r="C49" s="65"/>
      <c r="D49" s="65" t="str">
        <f>IF(A49="","",IF(COUNTIF(Producción!$B$2:$B$101,A49)=0,"SUELTA",IF(COUNTIF(Producción!$B$2:$B$101,A49)&gt;1,"DUPLICADA",IF(INDEX(Producción!$E$2:$E$101,MATCH(A49,Producción!$B$2:$B$101,0))="","SUELTA",TEXT(INDEX(Producción!$A$2:$A$101,MATCH(A49,Producción!$B$2:$B$101,0)),"0000")))))</f>
        <v>0057</v>
      </c>
      <c r="E49" s="20"/>
      <c r="F49" s="64" t="s">
        <v>421</v>
      </c>
      <c r="G49" s="64"/>
      <c r="H49" s="65"/>
      <c r="I49" s="65" t="str">
        <f>IF(F49="","",IF(COUNTIF(Producción!$E$2:$E$101,F49)=0,"SUELTA",IF(COUNTIF(Producción!$E$2:$E$101,F49)&gt;1,"DUPLICADA",IF(INDEX(Producción!$B$2:$B$101,MATCH(F49,Producción!$E$2:$E$101,0))="","SUELTA",TEXT(INDEX(Producción!$A$2:$A$101,MATCH(F49,Producción!$E$2:$E$101,0)),"0000")))))</f>
        <v>0060</v>
      </c>
      <c r="K49" s="64" t="s">
        <v>527</v>
      </c>
      <c r="L49" s="65"/>
      <c r="M49" s="64" t="str">
        <f>IF(K49="","",IF(COUNTIF(Producción!$H$2:$H$101,K49)=0,"DISPONIBLE",IF(COUNTIF(Producción!$H$2:$H$101,K49)&gt;1,"DUPLICADA",INDEX(Producción!$A$2:$A$101,MATCH(K49,Producción!$H$2:$H$101,0)))))</f>
        <v>DISPONIBLE</v>
      </c>
      <c r="O49" s="64" t="str">
        <v>TQT-R3-V30-0057</v>
      </c>
    </row>
    <row r="50" spans="1:15" ht="17.7" customHeight="1">
      <c r="A50" s="64" t="s">
        <v>322</v>
      </c>
      <c r="B50" s="64"/>
      <c r="C50" s="65"/>
      <c r="D50" s="65" t="str">
        <f>IF(A50="","",IF(COUNTIF(Producción!$B$2:$B$101,A50)=0,"SUELTA",IF(COUNTIF(Producción!$B$2:$B$101,A50)&gt;1,"DUPLICADA",IF(INDEX(Producción!$E$2:$E$101,MATCH(A50,Producción!$B$2:$B$101,0))="","SUELTA",TEXT(INDEX(Producción!$A$2:$A$101,MATCH(A50,Producción!$B$2:$B$101,0)),"0000")))))</f>
        <v>0058</v>
      </c>
      <c r="E50" s="20"/>
      <c r="F50" s="64" t="s">
        <v>422</v>
      </c>
      <c r="G50" s="64"/>
      <c r="H50" s="65"/>
      <c r="I50" s="65" t="str">
        <f>IF(F50="","",IF(COUNTIF(Producción!$E$2:$E$101,F50)=0,"SUELTA",IF(COUNTIF(Producción!$E$2:$E$101,F50)&gt;1,"DUPLICADA",IF(INDEX(Producción!$B$2:$B$101,MATCH(F50,Producción!$E$2:$E$101,0))="","SUELTA",TEXT(INDEX(Producción!$A$2:$A$101,MATCH(F50,Producción!$E$2:$E$101,0)),"0000")))))</f>
        <v>0061</v>
      </c>
      <c r="K50" s="64" t="s">
        <v>528</v>
      </c>
      <c r="L50" s="65"/>
      <c r="M50" s="64" t="str">
        <f>IF(K50="","",IF(COUNTIF(Producción!$H$2:$H$101,K50)=0,"DISPONIBLE",IF(COUNTIF(Producción!$H$2:$H$101,K50)&gt;1,"DUPLICADA",INDEX(Producción!$A$2:$A$101,MATCH(K50,Producción!$H$2:$H$101,0)))))</f>
        <v>DISPONIBLE</v>
      </c>
      <c r="O50" s="64" t="str">
        <v>TQT-R3-V30-0058</v>
      </c>
    </row>
    <row r="51" spans="1:15" ht="17.7" customHeight="1">
      <c r="A51" s="64" t="s">
        <v>323</v>
      </c>
      <c r="B51" s="64"/>
      <c r="C51" s="65"/>
      <c r="D51" s="65" t="str">
        <f>IF(A51="","",IF(COUNTIF(Producción!$B$2:$B$101,A51)=0,"SUELTA",IF(COUNTIF(Producción!$B$2:$B$101,A51)&gt;1,"DUPLICADA",IF(INDEX(Producción!$E$2:$E$101,MATCH(A51,Producción!$B$2:$B$101,0))="","SUELTA",TEXT(INDEX(Producción!$A$2:$A$101,MATCH(A51,Producción!$B$2:$B$101,0)),"0000")))))</f>
        <v>0059</v>
      </c>
      <c r="E51" s="20"/>
      <c r="F51" s="64" t="s">
        <v>423</v>
      </c>
      <c r="G51" s="64"/>
      <c r="H51" s="65"/>
      <c r="I51" s="65" t="str">
        <f>IF(F51="","",IF(COUNTIF(Producción!$E$2:$E$101,F51)=0,"SUELTA",IF(COUNTIF(Producción!$E$2:$E$101,F51)&gt;1,"DUPLICADA",IF(INDEX(Producción!$B$2:$B$101,MATCH(F51,Producción!$E$2:$E$101,0))="","SUELTA",TEXT(INDEX(Producción!$A$2:$A$101,MATCH(F51,Producción!$E$2:$E$101,0)),"0000")))))</f>
        <v>0062</v>
      </c>
      <c r="K51" s="64" t="s">
        <v>529</v>
      </c>
      <c r="L51" s="65"/>
      <c r="M51" s="64" t="str">
        <f>IF(K51="","",IF(COUNTIF(Producción!$H$2:$H$101,K51)=0,"DISPONIBLE",IF(COUNTIF(Producción!$H$2:$H$101,K51)&gt;1,"DUPLICADA",INDEX(Producción!$A$2:$A$101,MATCH(K51,Producción!$H$2:$H$101,0)))))</f>
        <v>DISPONIBLE</v>
      </c>
      <c r="O51" s="64" t="str">
        <v>TQT-R3-V30-0059</v>
      </c>
    </row>
    <row r="52" spans="1:15" ht="17.7" customHeight="1">
      <c r="A52" s="64" t="s">
        <v>324</v>
      </c>
      <c r="B52" s="64"/>
      <c r="C52" s="65"/>
      <c r="D52" s="65" t="str">
        <f>IF(A52="","",IF(COUNTIF(Producción!$B$2:$B$101,A52)=0,"SUELTA",IF(COUNTIF(Producción!$B$2:$B$101,A52)&gt;1,"DUPLICADA",IF(INDEX(Producción!$E$2:$E$101,MATCH(A52,Producción!$B$2:$B$101,0))="","SUELTA",TEXT(INDEX(Producción!$A$2:$A$101,MATCH(A52,Producción!$B$2:$B$101,0)),"0000")))))</f>
        <v>0060</v>
      </c>
      <c r="E52" s="20"/>
      <c r="F52" s="64" t="s">
        <v>424</v>
      </c>
      <c r="G52" s="64"/>
      <c r="H52" s="65"/>
      <c r="I52" s="65" t="str">
        <f>IF(F52="","",IF(COUNTIF(Producción!$E$2:$E$101,F52)=0,"SUELTA",IF(COUNTIF(Producción!$E$2:$E$101,F52)&gt;1,"DUPLICADA",IF(INDEX(Producción!$B$2:$B$101,MATCH(F52,Producción!$E$2:$E$101,0))="","SUELTA",TEXT(INDEX(Producción!$A$2:$A$101,MATCH(F52,Producción!$E$2:$E$101,0)),"0000")))))</f>
        <v>0063</v>
      </c>
      <c r="K52" s="64" t="s">
        <v>530</v>
      </c>
      <c r="L52" s="65"/>
      <c r="M52" s="64" t="str">
        <f>IF(K52="","",IF(COUNTIF(Producción!$H$2:$H$101,K52)=0,"DISPONIBLE",IF(COUNTIF(Producción!$H$2:$H$101,K52)&gt;1,"DUPLICADA",INDEX(Producción!$A$2:$A$101,MATCH(K52,Producción!$H$2:$H$101,0)))))</f>
        <v>DISPONIBLE</v>
      </c>
      <c r="O52" s="64" t="str">
        <v>TQT-R3-V30-0060</v>
      </c>
    </row>
    <row r="53" spans="1:15" ht="17.7" customHeight="1">
      <c r="A53" s="64" t="s">
        <v>325</v>
      </c>
      <c r="B53" s="64"/>
      <c r="C53" s="65"/>
      <c r="D53" s="65" t="str">
        <f>IF(A53="","",IF(COUNTIF(Producción!$B$2:$B$101,A53)=0,"SUELTA",IF(COUNTIF(Producción!$B$2:$B$101,A53)&gt;1,"DUPLICADA",IF(INDEX(Producción!$E$2:$E$101,MATCH(A53,Producción!$B$2:$B$101,0))="","SUELTA",TEXT(INDEX(Producción!$A$2:$A$101,MATCH(A53,Producción!$B$2:$B$101,0)),"0000")))))</f>
        <v>0061</v>
      </c>
      <c r="E53" s="20"/>
      <c r="F53" s="64" t="s">
        <v>425</v>
      </c>
      <c r="G53" s="64"/>
      <c r="H53" s="65"/>
      <c r="I53" s="65" t="str">
        <f>IF(F53="","",IF(COUNTIF(Producción!$E$2:$E$101,F53)=0,"SUELTA",IF(COUNTIF(Producción!$E$2:$E$101,F53)&gt;1,"DUPLICADA",IF(INDEX(Producción!$B$2:$B$101,MATCH(F53,Producción!$E$2:$E$101,0))="","SUELTA",TEXT(INDEX(Producción!$A$2:$A$101,MATCH(F53,Producción!$E$2:$E$101,0)),"0000")))))</f>
        <v>0064</v>
      </c>
      <c r="K53" s="64" t="s">
        <v>531</v>
      </c>
      <c r="L53" s="65"/>
      <c r="M53" s="64" t="str">
        <f>IF(K53="","",IF(COUNTIF(Producción!$H$2:$H$101,K53)=0,"DISPONIBLE",IF(COUNTIF(Producción!$H$2:$H$101,K53)&gt;1,"DUPLICADA",INDEX(Producción!$A$2:$A$101,MATCH(K53,Producción!$H$2:$H$101,0)))))</f>
        <v>DISPONIBLE</v>
      </c>
      <c r="O53" s="64" t="str">
        <v>TQT-R3-V30-0061</v>
      </c>
    </row>
    <row r="54" spans="1:15" ht="17.7" customHeight="1">
      <c r="A54" s="64" t="s">
        <v>326</v>
      </c>
      <c r="B54" s="64"/>
      <c r="C54" s="65"/>
      <c r="D54" s="65" t="str">
        <f>IF(A54="","",IF(COUNTIF(Producción!$B$2:$B$101,A54)=0,"SUELTA",IF(COUNTIF(Producción!$B$2:$B$101,A54)&gt;1,"DUPLICADA",IF(INDEX(Producción!$E$2:$E$101,MATCH(A54,Producción!$B$2:$B$101,0))="","SUELTA",TEXT(INDEX(Producción!$A$2:$A$101,MATCH(A54,Producción!$B$2:$B$101,0)),"0000")))))</f>
        <v>0062</v>
      </c>
      <c r="E54" s="20"/>
      <c r="F54" s="64" t="s">
        <v>426</v>
      </c>
      <c r="G54" s="64"/>
      <c r="H54" s="65"/>
      <c r="I54" s="65" t="str">
        <f>IF(F54="","",IF(COUNTIF(Producción!$E$2:$E$101,F54)=0,"SUELTA",IF(COUNTIF(Producción!$E$2:$E$101,F54)&gt;1,"DUPLICADA",IF(INDEX(Producción!$B$2:$B$101,MATCH(F54,Producción!$E$2:$E$101,0))="","SUELTA",TEXT(INDEX(Producción!$A$2:$A$101,MATCH(F54,Producción!$E$2:$E$101,0)),"0000")))))</f>
        <v>0065</v>
      </c>
      <c r="K54" s="64" t="s">
        <v>532</v>
      </c>
      <c r="L54" s="65"/>
      <c r="M54" s="64" t="str">
        <f>IF(K54="","",IF(COUNTIF(Producción!$H$2:$H$101,K54)=0,"DISPONIBLE",IF(COUNTIF(Producción!$H$2:$H$101,K54)&gt;1,"DUPLICADA",INDEX(Producción!$A$2:$A$101,MATCH(K54,Producción!$H$2:$H$101,0)))))</f>
        <v>DISPONIBLE</v>
      </c>
      <c r="O54" s="64" t="str">
        <v>TQT-R3-V30-0062</v>
      </c>
    </row>
    <row r="55" spans="1:15" ht="17.7" customHeight="1">
      <c r="A55" s="64" t="s">
        <v>327</v>
      </c>
      <c r="B55" s="64"/>
      <c r="C55" s="65"/>
      <c r="D55" s="65" t="str">
        <f>IF(A55="","",IF(COUNTIF(Producción!$B$2:$B$101,A55)=0,"SUELTA",IF(COUNTIF(Producción!$B$2:$B$101,A55)&gt;1,"DUPLICADA",IF(INDEX(Producción!$E$2:$E$101,MATCH(A55,Producción!$B$2:$B$101,0))="","SUELTA",TEXT(INDEX(Producción!$A$2:$A$101,MATCH(A55,Producción!$B$2:$B$101,0)),"0000")))))</f>
        <v>0063</v>
      </c>
      <c r="E55" s="20"/>
      <c r="F55" s="64" t="s">
        <v>427</v>
      </c>
      <c r="G55" s="64"/>
      <c r="H55" s="65"/>
      <c r="I55" s="65" t="str">
        <f>IF(F55="","",IF(COUNTIF(Producción!$E$2:$E$101,F55)=0,"SUELTA",IF(COUNTIF(Producción!$E$2:$E$101,F55)&gt;1,"DUPLICADA",IF(INDEX(Producción!$B$2:$B$101,MATCH(F55,Producción!$E$2:$E$101,0))="","SUELTA",TEXT(INDEX(Producción!$A$2:$A$101,MATCH(F55,Producción!$E$2:$E$101,0)),"0000")))))</f>
        <v>0066</v>
      </c>
      <c r="K55" s="64" t="s">
        <v>533</v>
      </c>
      <c r="L55" s="65"/>
      <c r="M55" s="64" t="str">
        <f>IF(K55="","",IF(COUNTIF(Producción!$H$2:$H$101,K55)=0,"DISPONIBLE",IF(COUNTIF(Producción!$H$2:$H$101,K55)&gt;1,"DUPLICADA",INDEX(Producción!$A$2:$A$101,MATCH(K55,Producción!$H$2:$H$101,0)))))</f>
        <v>DISPONIBLE</v>
      </c>
      <c r="O55" s="64" t="str">
        <v>TQT-R3-V30-0063</v>
      </c>
    </row>
    <row r="56" spans="1:15" ht="17.7" customHeight="1">
      <c r="A56" s="64" t="s">
        <v>328</v>
      </c>
      <c r="B56" s="64"/>
      <c r="C56" s="65"/>
      <c r="D56" s="65" t="str">
        <f>IF(A56="","",IF(COUNTIF(Producción!$B$2:$B$101,A56)=0,"SUELTA",IF(COUNTIF(Producción!$B$2:$B$101,A56)&gt;1,"DUPLICADA",IF(INDEX(Producción!$E$2:$E$101,MATCH(A56,Producción!$B$2:$B$101,0))="","SUELTA",TEXT(INDEX(Producción!$A$2:$A$101,MATCH(A56,Producción!$B$2:$B$101,0)),"0000")))))</f>
        <v>0064</v>
      </c>
      <c r="E56" s="20"/>
      <c r="F56" s="64" t="s">
        <v>428</v>
      </c>
      <c r="G56" s="64"/>
      <c r="H56" s="65"/>
      <c r="I56" s="65" t="str">
        <f>IF(F56="","",IF(COUNTIF(Producción!$E$2:$E$101,F56)=0,"SUELTA",IF(COUNTIF(Producción!$E$2:$E$101,F56)&gt;1,"DUPLICADA",IF(INDEX(Producción!$B$2:$B$101,MATCH(F56,Producción!$E$2:$E$101,0))="","SUELTA",TEXT(INDEX(Producción!$A$2:$A$101,MATCH(F56,Producción!$E$2:$E$101,0)),"0000")))))</f>
        <v>0067</v>
      </c>
      <c r="K56" s="64" t="s">
        <v>534</v>
      </c>
      <c r="L56" s="65"/>
      <c r="M56" s="64" t="str">
        <f>IF(K56="","",IF(COUNTIF(Producción!$H$2:$H$101,K56)=0,"DISPONIBLE",IF(COUNTIF(Producción!$H$2:$H$101,K56)&gt;1,"DUPLICADA",INDEX(Producción!$A$2:$A$101,MATCH(K56,Producción!$H$2:$H$101,0)))))</f>
        <v>DISPONIBLE</v>
      </c>
      <c r="O56" s="64" t="str">
        <v>TQT-R3-V30-0064</v>
      </c>
    </row>
    <row r="57" spans="1:15" ht="17.7" customHeight="1">
      <c r="A57" s="64" t="s">
        <v>329</v>
      </c>
      <c r="B57" s="64"/>
      <c r="C57" s="65"/>
      <c r="D57" s="65" t="str">
        <f>IF(A57="","",IF(COUNTIF(Producción!$B$2:$B$101,A57)=0,"SUELTA",IF(COUNTIF(Producción!$B$2:$B$101,A57)&gt;1,"DUPLICADA",IF(INDEX(Producción!$E$2:$E$101,MATCH(A57,Producción!$B$2:$B$101,0))="","SUELTA",TEXT(INDEX(Producción!$A$2:$A$101,MATCH(A57,Producción!$B$2:$B$101,0)),"0000")))))</f>
        <v>0065</v>
      </c>
      <c r="E57" s="20"/>
      <c r="F57" s="64" t="s">
        <v>429</v>
      </c>
      <c r="G57" s="64"/>
      <c r="H57" s="65"/>
      <c r="I57" s="65" t="str">
        <f>IF(F57="","",IF(COUNTIF(Producción!$E$2:$E$101,F57)=0,"SUELTA",IF(COUNTIF(Producción!$E$2:$E$101,F57)&gt;1,"DUPLICADA",IF(INDEX(Producción!$B$2:$B$101,MATCH(F57,Producción!$E$2:$E$101,0))="","SUELTA",TEXT(INDEX(Producción!$A$2:$A$101,MATCH(F57,Producción!$E$2:$E$101,0)),"0000")))))</f>
        <v>0068</v>
      </c>
      <c r="K57" s="64" t="s">
        <v>535</v>
      </c>
      <c r="L57" s="65"/>
      <c r="M57" s="64" t="str">
        <f>IF(K57="","",IF(COUNTIF(Producción!$H$2:$H$101,K57)=0,"DISPONIBLE",IF(COUNTIF(Producción!$H$2:$H$101,K57)&gt;1,"DUPLICADA",INDEX(Producción!$A$2:$A$101,MATCH(K57,Producción!$H$2:$H$101,0)))))</f>
        <v>DISPONIBLE</v>
      </c>
      <c r="O57" s="64" t="str">
        <v>TQT-R3-V30-0065</v>
      </c>
    </row>
    <row r="58" spans="1:15" ht="17.7" customHeight="1">
      <c r="A58" s="64" t="s">
        <v>330</v>
      </c>
      <c r="B58" s="64"/>
      <c r="C58" s="65"/>
      <c r="D58" s="65" t="str">
        <f>IF(A58="","",IF(COUNTIF(Producción!$B$2:$B$101,A58)=0,"SUELTA",IF(COUNTIF(Producción!$B$2:$B$101,A58)&gt;1,"DUPLICADA",IF(INDEX(Producción!$E$2:$E$101,MATCH(A58,Producción!$B$2:$B$101,0))="","SUELTA",TEXT(INDEX(Producción!$A$2:$A$101,MATCH(A58,Producción!$B$2:$B$101,0)),"0000")))))</f>
        <v>0066</v>
      </c>
      <c r="E58" s="20"/>
      <c r="F58" s="64" t="s">
        <v>430</v>
      </c>
      <c r="G58" s="64"/>
      <c r="H58" s="65"/>
      <c r="I58" s="65" t="str">
        <f>IF(F58="","",IF(COUNTIF(Producción!$E$2:$E$101,F58)=0,"SUELTA",IF(COUNTIF(Producción!$E$2:$E$101,F58)&gt;1,"DUPLICADA",IF(INDEX(Producción!$B$2:$B$101,MATCH(F58,Producción!$E$2:$E$101,0))="","SUELTA",TEXT(INDEX(Producción!$A$2:$A$101,MATCH(F58,Producción!$E$2:$E$101,0)),"0000")))))</f>
        <v>0069</v>
      </c>
      <c r="K58" s="64" t="s">
        <v>536</v>
      </c>
      <c r="L58" s="65"/>
      <c r="M58" s="64" t="str">
        <f>IF(K58="","",IF(COUNTIF(Producción!$H$2:$H$101,K58)=0,"DISPONIBLE",IF(COUNTIF(Producción!$H$2:$H$101,K58)&gt;1,"DUPLICADA",INDEX(Producción!$A$2:$A$101,MATCH(K58,Producción!$H$2:$H$101,0)))))</f>
        <v>DISPONIBLE</v>
      </c>
      <c r="O58" s="64" t="str">
        <v>TQT-R3-V30-0066</v>
      </c>
    </row>
    <row r="59" spans="1:15" ht="17.7" customHeight="1">
      <c r="A59" s="64" t="s">
        <v>331</v>
      </c>
      <c r="B59" s="64"/>
      <c r="C59" s="65"/>
      <c r="D59" s="65" t="str">
        <f>IF(A59="","",IF(COUNTIF(Producción!$B$2:$B$101,A59)=0,"SUELTA",IF(COUNTIF(Producción!$B$2:$B$101,A59)&gt;1,"DUPLICADA",IF(INDEX(Producción!$E$2:$E$101,MATCH(A59,Producción!$B$2:$B$101,0))="","SUELTA",TEXT(INDEX(Producción!$A$2:$A$101,MATCH(A59,Producción!$B$2:$B$101,0)),"0000")))))</f>
        <v>0067</v>
      </c>
      <c r="E59" s="20"/>
      <c r="F59" s="64" t="s">
        <v>431</v>
      </c>
      <c r="G59" s="64"/>
      <c r="H59" s="65"/>
      <c r="I59" s="65" t="str">
        <f>IF(F59="","",IF(COUNTIF(Producción!$E$2:$E$101,F59)=0,"SUELTA",IF(COUNTIF(Producción!$E$2:$E$101,F59)&gt;1,"DUPLICADA",IF(INDEX(Producción!$B$2:$B$101,MATCH(F59,Producción!$E$2:$E$101,0))="","SUELTA",TEXT(INDEX(Producción!$A$2:$A$101,MATCH(F59,Producción!$E$2:$E$101,0)),"0000")))))</f>
        <v>0070</v>
      </c>
      <c r="K59" s="64" t="s">
        <v>537</v>
      </c>
      <c r="L59" s="65"/>
      <c r="M59" s="64" t="str">
        <f>IF(K59="","",IF(COUNTIF(Producción!$H$2:$H$101,K59)=0,"DISPONIBLE",IF(COUNTIF(Producción!$H$2:$H$101,K59)&gt;1,"DUPLICADA",INDEX(Producción!$A$2:$A$101,MATCH(K59,Producción!$H$2:$H$101,0)))))</f>
        <v>DISPONIBLE</v>
      </c>
      <c r="O59" s="64" t="str">
        <v>TQT-R3-V30-0067</v>
      </c>
    </row>
    <row r="60" spans="1:15" ht="17.7" customHeight="1">
      <c r="A60" s="64" t="s">
        <v>332</v>
      </c>
      <c r="B60" s="64"/>
      <c r="C60" s="65"/>
      <c r="D60" s="65" t="str">
        <f>IF(A60="","",IF(COUNTIF(Producción!$B$2:$B$101,A60)=0,"SUELTA",IF(COUNTIF(Producción!$B$2:$B$101,A60)&gt;1,"DUPLICADA",IF(INDEX(Producción!$E$2:$E$101,MATCH(A60,Producción!$B$2:$B$101,0))="","SUELTA",TEXT(INDEX(Producción!$A$2:$A$101,MATCH(A60,Producción!$B$2:$B$101,0)),"0000")))))</f>
        <v>0068</v>
      </c>
      <c r="E60" s="20"/>
      <c r="F60" s="64" t="s">
        <v>432</v>
      </c>
      <c r="G60" s="64"/>
      <c r="H60" s="65"/>
      <c r="I60" s="65" t="str">
        <f>IF(F60="","",IF(COUNTIF(Producción!$E$2:$E$101,F60)=0,"SUELTA",IF(COUNTIF(Producción!$E$2:$E$101,F60)&gt;1,"DUPLICADA",IF(INDEX(Producción!$B$2:$B$101,MATCH(F60,Producción!$E$2:$E$101,0))="","SUELTA",TEXT(INDEX(Producción!$A$2:$A$101,MATCH(F60,Producción!$E$2:$E$101,0)),"0000")))))</f>
        <v>0071</v>
      </c>
      <c r="K60" s="64" t="s">
        <v>538</v>
      </c>
      <c r="L60" s="65"/>
      <c r="M60" s="64" t="str">
        <f>IF(K60="","",IF(COUNTIF(Producción!$H$2:$H$101,K60)=0,"DISPONIBLE",IF(COUNTIF(Producción!$H$2:$H$101,K60)&gt;1,"DUPLICADA",INDEX(Producción!$A$2:$A$101,MATCH(K60,Producción!$H$2:$H$101,0)))))</f>
        <v>DISPONIBLE</v>
      </c>
      <c r="O60" s="64" t="str">
        <v>TQT-R3-V30-0068</v>
      </c>
    </row>
    <row r="61" spans="1:15" ht="17.7" customHeight="1">
      <c r="A61" s="64" t="s">
        <v>333</v>
      </c>
      <c r="B61" s="64"/>
      <c r="C61" s="65"/>
      <c r="D61" s="65" t="str">
        <f>IF(A61="","",IF(COUNTIF(Producción!$B$2:$B$101,A61)=0,"SUELTA",IF(COUNTIF(Producción!$B$2:$B$101,A61)&gt;1,"DUPLICADA",IF(INDEX(Producción!$E$2:$E$101,MATCH(A61,Producción!$B$2:$B$101,0))="","SUELTA",TEXT(INDEX(Producción!$A$2:$A$101,MATCH(A61,Producción!$B$2:$B$101,0)),"0000")))))</f>
        <v>0069</v>
      </c>
      <c r="E61" s="20"/>
      <c r="F61" s="64" t="s">
        <v>433</v>
      </c>
      <c r="G61" s="64"/>
      <c r="H61" s="65"/>
      <c r="I61" s="65" t="str">
        <f>IF(F61="","",IF(COUNTIF(Producción!$E$2:$E$101,F61)=0,"SUELTA",IF(COUNTIF(Producción!$E$2:$E$101,F61)&gt;1,"DUPLICADA",IF(INDEX(Producción!$B$2:$B$101,MATCH(F61,Producción!$E$2:$E$101,0))="","SUELTA",TEXT(INDEX(Producción!$A$2:$A$101,MATCH(F61,Producción!$E$2:$E$101,0)),"0000")))))</f>
        <v>0072</v>
      </c>
      <c r="K61" s="64" t="s">
        <v>539</v>
      </c>
      <c r="L61" s="65"/>
      <c r="M61" s="64" t="str">
        <f>IF(K61="","",IF(COUNTIF(Producción!$H$2:$H$101,K61)=0,"DISPONIBLE",IF(COUNTIF(Producción!$H$2:$H$101,K61)&gt;1,"DUPLICADA",INDEX(Producción!$A$2:$A$101,MATCH(K61,Producción!$H$2:$H$101,0)))))</f>
        <v>DISPONIBLE</v>
      </c>
      <c r="O61" s="64" t="str">
        <v>TQT-R3-V30-0069</v>
      </c>
    </row>
    <row r="62" spans="1:15" ht="17.7" customHeight="1">
      <c r="A62" s="64" t="s">
        <v>334</v>
      </c>
      <c r="B62" s="64"/>
      <c r="C62" s="65"/>
      <c r="D62" s="65" t="str">
        <f>IF(A62="","",IF(COUNTIF(Producción!$B$2:$B$101,A62)=0,"SUELTA",IF(COUNTIF(Producción!$B$2:$B$101,A62)&gt;1,"DUPLICADA",IF(INDEX(Producción!$E$2:$E$101,MATCH(A62,Producción!$B$2:$B$101,0))="","SUELTA",TEXT(INDEX(Producción!$A$2:$A$101,MATCH(A62,Producción!$B$2:$B$101,0)),"0000")))))</f>
        <v>0070</v>
      </c>
      <c r="E62" s="20"/>
      <c r="F62" s="64" t="s">
        <v>434</v>
      </c>
      <c r="G62" s="64"/>
      <c r="H62" s="65"/>
      <c r="I62" s="65" t="str">
        <f>IF(F62="","",IF(COUNTIF(Producción!$E$2:$E$101,F62)=0,"SUELTA",IF(COUNTIF(Producción!$E$2:$E$101,F62)&gt;1,"DUPLICADA",IF(INDEX(Producción!$B$2:$B$101,MATCH(F62,Producción!$E$2:$E$101,0))="","SUELTA",TEXT(INDEX(Producción!$A$2:$A$101,MATCH(F62,Producción!$E$2:$E$101,0)),"0000")))))</f>
        <v>0073</v>
      </c>
      <c r="K62" s="64" t="s">
        <v>540</v>
      </c>
      <c r="L62" s="65"/>
      <c r="M62" s="64" t="str">
        <f>IF(K62="","",IF(COUNTIF(Producción!$H$2:$H$101,K62)=0,"DISPONIBLE",IF(COUNTIF(Producción!$H$2:$H$101,K62)&gt;1,"DUPLICADA",INDEX(Producción!$A$2:$A$101,MATCH(K62,Producción!$H$2:$H$101,0)))))</f>
        <v>DISPONIBLE</v>
      </c>
      <c r="O62" s="64" t="str">
        <v>TQT-R3-V30-0070</v>
      </c>
    </row>
    <row r="63" spans="1:15" ht="17.7" customHeight="1">
      <c r="A63" s="64" t="s">
        <v>335</v>
      </c>
      <c r="B63" s="64"/>
      <c r="C63" s="65"/>
      <c r="D63" s="65" t="str">
        <f>IF(A63="","",IF(COUNTIF(Producción!$B$2:$B$101,A63)=0,"SUELTA",IF(COUNTIF(Producción!$B$2:$B$101,A63)&gt;1,"DUPLICADA",IF(INDEX(Producción!$E$2:$E$101,MATCH(A63,Producción!$B$2:$B$101,0))="","SUELTA",TEXT(INDEX(Producción!$A$2:$A$101,MATCH(A63,Producción!$B$2:$B$101,0)),"0000")))))</f>
        <v>0071</v>
      </c>
      <c r="E63" s="20"/>
      <c r="F63" s="64" t="s">
        <v>435</v>
      </c>
      <c r="G63" s="64"/>
      <c r="H63" s="65"/>
      <c r="I63" s="65" t="str">
        <f>IF(F63="","",IF(COUNTIF(Producción!$E$2:$E$101,F63)=0,"SUELTA",IF(COUNTIF(Producción!$E$2:$E$101,F63)&gt;1,"DUPLICADA",IF(INDEX(Producción!$B$2:$B$101,MATCH(F63,Producción!$E$2:$E$101,0))="","SUELTA",TEXT(INDEX(Producción!$A$2:$A$101,MATCH(F63,Producción!$E$2:$E$101,0)),"0000")))))</f>
        <v>0074</v>
      </c>
      <c r="K63" s="64" t="s">
        <v>541</v>
      </c>
      <c r="L63" s="65"/>
      <c r="M63" s="64" t="str">
        <f>IF(K63="","",IF(COUNTIF(Producción!$H$2:$H$101,K63)=0,"DISPONIBLE",IF(COUNTIF(Producción!$H$2:$H$101,K63)&gt;1,"DUPLICADA",INDEX(Producción!$A$2:$A$101,MATCH(K63,Producción!$H$2:$H$101,0)))))</f>
        <v>DISPONIBLE</v>
      </c>
      <c r="O63" s="64" t="str">
        <v>TQT-R3-V30-0071</v>
      </c>
    </row>
    <row r="64" spans="1:15" ht="17.7" customHeight="1">
      <c r="A64" s="64" t="s">
        <v>336</v>
      </c>
      <c r="B64" s="64"/>
      <c r="C64" s="65"/>
      <c r="D64" s="65" t="str">
        <f>IF(A64="","",IF(COUNTIF(Producción!$B$2:$B$101,A64)=0,"SUELTA",IF(COUNTIF(Producción!$B$2:$B$101,A64)&gt;1,"DUPLICADA",IF(INDEX(Producción!$E$2:$E$101,MATCH(A64,Producción!$B$2:$B$101,0))="","SUELTA",TEXT(INDEX(Producción!$A$2:$A$101,MATCH(A64,Producción!$B$2:$B$101,0)),"0000")))))</f>
        <v>0072</v>
      </c>
      <c r="E64" s="20"/>
      <c r="F64" s="64" t="s">
        <v>436</v>
      </c>
      <c r="G64" s="64"/>
      <c r="H64" s="65"/>
      <c r="I64" s="65" t="str">
        <f>IF(F64="","",IF(COUNTIF(Producción!$E$2:$E$101,F64)=0,"SUELTA",IF(COUNTIF(Producción!$E$2:$E$101,F64)&gt;1,"DUPLICADA",IF(INDEX(Producción!$B$2:$B$101,MATCH(F64,Producción!$E$2:$E$101,0))="","SUELTA",TEXT(INDEX(Producción!$A$2:$A$101,MATCH(F64,Producción!$E$2:$E$101,0)),"0000")))))</f>
        <v>0018</v>
      </c>
      <c r="K64" s="64" t="s">
        <v>542</v>
      </c>
      <c r="L64" s="65"/>
      <c r="M64" s="64" t="str">
        <f>IF(K64="","",IF(COUNTIF(Producción!$H$2:$H$101,K64)=0,"DISPONIBLE",IF(COUNTIF(Producción!$H$2:$H$101,K64)&gt;1,"DUPLICADA",INDEX(Producción!$A$2:$A$101,MATCH(K64,Producción!$H$2:$H$101,0)))))</f>
        <v>DISPONIBLE</v>
      </c>
      <c r="O64" s="64" t="str">
        <v>TQT-R3-V30-0072</v>
      </c>
    </row>
    <row r="65" spans="1:15" ht="17.7" customHeight="1">
      <c r="A65" s="64" t="s">
        <v>337</v>
      </c>
      <c r="B65" s="64"/>
      <c r="C65" s="65"/>
      <c r="D65" s="65" t="str">
        <f>IF(A65="","",IF(COUNTIF(Producción!$B$2:$B$101,A65)=0,"SUELTA",IF(COUNTIF(Producción!$B$2:$B$101,A65)&gt;1,"DUPLICADA",IF(INDEX(Producción!$E$2:$E$101,MATCH(A65,Producción!$B$2:$B$101,0))="","SUELTA",TEXT(INDEX(Producción!$A$2:$A$101,MATCH(A65,Producción!$B$2:$B$101,0)),"0000")))))</f>
        <v>0073</v>
      </c>
      <c r="E65" s="20"/>
      <c r="F65" s="64" t="s">
        <v>437</v>
      </c>
      <c r="G65" s="64"/>
      <c r="H65" s="65"/>
      <c r="I65" s="65" t="str">
        <f>IF(F65="","",IF(COUNTIF(Producción!$E$2:$E$101,F65)=0,"SUELTA",IF(COUNTIF(Producción!$E$2:$E$101,F65)&gt;1,"DUPLICADA",IF(INDEX(Producción!$B$2:$B$101,MATCH(F65,Producción!$E$2:$E$101,0))="","SUELTA",TEXT(INDEX(Producción!$A$2:$A$101,MATCH(F65,Producción!$E$2:$E$101,0)),"0000")))))</f>
        <v>0076</v>
      </c>
      <c r="K65" s="64" t="s">
        <v>543</v>
      </c>
      <c r="L65" s="65"/>
      <c r="M65" s="64" t="str">
        <f>IF(K65="","",IF(COUNTIF(Producción!$H$2:$H$101,K65)=0,"DISPONIBLE",IF(COUNTIF(Producción!$H$2:$H$101,K65)&gt;1,"DUPLICADA",INDEX(Producción!$A$2:$A$101,MATCH(K65,Producción!$H$2:$H$101,0)))))</f>
        <v>DISPONIBLE</v>
      </c>
      <c r="O65" s="64" t="str">
        <v>TQT-R3-V30-0073</v>
      </c>
    </row>
    <row r="66" spans="1:15" ht="17.7" customHeight="1">
      <c r="A66" s="64" t="s">
        <v>338</v>
      </c>
      <c r="B66" s="64"/>
      <c r="C66" s="65"/>
      <c r="D66" s="65" t="str">
        <f>IF(A66="","",IF(COUNTIF(Producción!$B$2:$B$101,A66)=0,"SUELTA",IF(COUNTIF(Producción!$B$2:$B$101,A66)&gt;1,"DUPLICADA",IF(INDEX(Producción!$E$2:$E$101,MATCH(A66,Producción!$B$2:$B$101,0))="","SUELTA",TEXT(INDEX(Producción!$A$2:$A$101,MATCH(A66,Producción!$B$2:$B$101,0)),"0000")))))</f>
        <v>0074</v>
      </c>
      <c r="E66" s="20"/>
      <c r="F66" s="64" t="s">
        <v>438</v>
      </c>
      <c r="G66" s="64"/>
      <c r="H66" s="65"/>
      <c r="I66" s="65" t="str">
        <f>IF(F66="","",IF(COUNTIF(Producción!$E$2:$E$101,F66)=0,"SUELTA",IF(COUNTIF(Producción!$E$2:$E$101,F66)&gt;1,"DUPLICADA",IF(INDEX(Producción!$B$2:$B$101,MATCH(F66,Producción!$E$2:$E$101,0))="","SUELTA",TEXT(INDEX(Producción!$A$2:$A$101,MATCH(F66,Producción!$E$2:$E$101,0)),"0000")))))</f>
        <v>0077</v>
      </c>
      <c r="K66" s="64" t="s">
        <v>544</v>
      </c>
      <c r="L66" s="65"/>
      <c r="M66" s="64" t="str">
        <f>IF(K66="","",IF(COUNTIF(Producción!$H$2:$H$101,K66)=0,"DISPONIBLE",IF(COUNTIF(Producción!$H$2:$H$101,K66)&gt;1,"DUPLICADA",INDEX(Producción!$A$2:$A$101,MATCH(K66,Producción!$H$2:$H$101,0)))))</f>
        <v>DISPONIBLE</v>
      </c>
      <c r="O66" s="64" t="str">
        <v>TQT-R3-V30-0074</v>
      </c>
    </row>
    <row r="67" spans="1:15" ht="17.7" customHeight="1">
      <c r="A67" s="64" t="s">
        <v>339</v>
      </c>
      <c r="B67" s="64"/>
      <c r="C67" s="65"/>
      <c r="D67" s="65" t="str">
        <f>IF(A67="","",IF(COUNTIF(Producción!$B$2:$B$101,A67)=0,"SUELTA",IF(COUNTIF(Producción!$B$2:$B$101,A67)&gt;1,"DUPLICADA",IF(INDEX(Producción!$E$2:$E$101,MATCH(A67,Producción!$B$2:$B$101,0))="","SUELTA",TEXT(INDEX(Producción!$A$2:$A$101,MATCH(A67,Producción!$B$2:$B$101,0)),"0000")))))</f>
        <v>0076</v>
      </c>
      <c r="E67" s="20"/>
      <c r="F67" s="64" t="s">
        <v>439</v>
      </c>
      <c r="G67" s="64"/>
      <c r="H67" s="65"/>
      <c r="I67" s="65" t="str">
        <f>IF(F67="","",IF(COUNTIF(Producción!$E$2:$E$101,F67)=0,"SUELTA",IF(COUNTIF(Producción!$E$2:$E$101,F67)&gt;1,"DUPLICADA",IF(INDEX(Producción!$B$2:$B$101,MATCH(F67,Producción!$E$2:$E$101,0))="","SUELTA",TEXT(INDEX(Producción!$A$2:$A$101,MATCH(F67,Producción!$E$2:$E$101,0)),"0000")))))</f>
        <v>0036</v>
      </c>
      <c r="K67" s="64" t="s">
        <v>545</v>
      </c>
      <c r="L67" s="65"/>
      <c r="M67" s="64" t="str">
        <f>IF(K67="","",IF(COUNTIF(Producción!$H$2:$H$101,K67)=0,"DISPONIBLE",IF(COUNTIF(Producción!$H$2:$H$101,K67)&gt;1,"DUPLICADA",INDEX(Producción!$A$2:$A$101,MATCH(K67,Producción!$H$2:$H$101,0)))))</f>
        <v>DISPONIBLE</v>
      </c>
      <c r="O67" s="64" t="str">
        <v>TQT-R3-V30-0076</v>
      </c>
    </row>
    <row r="68" spans="1:15" ht="17.7" customHeight="1">
      <c r="A68" s="64" t="s">
        <v>340</v>
      </c>
      <c r="B68" s="64"/>
      <c r="C68" s="65"/>
      <c r="D68" s="65" t="str">
        <f>IF(A68="","",IF(COUNTIF(Producción!$B$2:$B$101,A68)=0,"SUELTA",IF(COUNTIF(Producción!$B$2:$B$101,A68)&gt;1,"DUPLICADA",IF(INDEX(Producción!$E$2:$E$101,MATCH(A68,Producción!$B$2:$B$101,0))="","SUELTA",TEXT(INDEX(Producción!$A$2:$A$101,MATCH(A68,Producción!$B$2:$B$101,0)),"0000")))))</f>
        <v>0077</v>
      </c>
      <c r="E68" s="20"/>
      <c r="F68" s="64" t="s">
        <v>440</v>
      </c>
      <c r="G68" s="64"/>
      <c r="H68" s="65"/>
      <c r="I68" s="65" t="str">
        <f>IF(F68="","",IF(COUNTIF(Producción!$E$2:$E$101,F68)=0,"SUELTA",IF(COUNTIF(Producción!$E$2:$E$101,F68)&gt;1,"DUPLICADA",IF(INDEX(Producción!$B$2:$B$101,MATCH(F68,Producción!$E$2:$E$101,0))="","SUELTA",TEXT(INDEX(Producción!$A$2:$A$101,MATCH(F68,Producción!$E$2:$E$101,0)),"0000")))))</f>
        <v>0079</v>
      </c>
      <c r="K68" s="64" t="s">
        <v>546</v>
      </c>
      <c r="L68" s="65"/>
      <c r="M68" s="64" t="str">
        <f>IF(K68="","",IF(COUNTIF(Producción!$H$2:$H$101,K68)=0,"DISPONIBLE",IF(COUNTIF(Producción!$H$2:$H$101,K68)&gt;1,"DUPLICADA",INDEX(Producción!$A$2:$A$101,MATCH(K68,Producción!$H$2:$H$101,0)))))</f>
        <v>DISPONIBLE</v>
      </c>
      <c r="O68" s="64" t="str">
        <v>TQT-R3-V30-0077</v>
      </c>
    </row>
    <row r="69" spans="1:15" ht="17.7" customHeight="1">
      <c r="A69" s="64" t="s">
        <v>341</v>
      </c>
      <c r="B69" s="64"/>
      <c r="C69" s="65"/>
      <c r="D69" s="65" t="str">
        <f>IF(A69="","",IF(COUNTIF(Producción!$B$2:$B$101,A69)=0,"SUELTA",IF(COUNTIF(Producción!$B$2:$B$101,A69)&gt;1,"DUPLICADA",IF(INDEX(Producción!$E$2:$E$101,MATCH(A69,Producción!$B$2:$B$101,0))="","SUELTA",TEXT(INDEX(Producción!$A$2:$A$101,MATCH(A69,Producción!$B$2:$B$101,0)),"0000")))))</f>
        <v>0079</v>
      </c>
      <c r="E69" s="20"/>
      <c r="F69" s="64" t="s">
        <v>441</v>
      </c>
      <c r="G69" s="64"/>
      <c r="H69" s="65"/>
      <c r="I69" s="65" t="str">
        <f>IF(F69="","",IF(COUNTIF(Producción!$E$2:$E$101,F69)=0,"SUELTA",IF(COUNTIF(Producción!$E$2:$E$101,F69)&gt;1,"DUPLICADA",IF(INDEX(Producción!$B$2:$B$101,MATCH(F69,Producción!$E$2:$E$101,0))="","SUELTA",TEXT(INDEX(Producción!$A$2:$A$101,MATCH(F69,Producción!$E$2:$E$101,0)),"0000")))))</f>
        <v>0080</v>
      </c>
      <c r="K69" s="64" t="s">
        <v>547</v>
      </c>
      <c r="L69" s="65"/>
      <c r="M69" s="64" t="str">
        <f>IF(K69="","",IF(COUNTIF(Producción!$H$2:$H$101,K69)=0,"DISPONIBLE",IF(COUNTIF(Producción!$H$2:$H$101,K69)&gt;1,"DUPLICADA",INDEX(Producción!$A$2:$A$101,MATCH(K69,Producción!$H$2:$H$101,0)))))</f>
        <v>DISPONIBLE</v>
      </c>
      <c r="O69" s="64" t="str">
        <v>TQT-R3-V30-0078</v>
      </c>
    </row>
    <row r="70" spans="1:15" ht="17.7" customHeight="1">
      <c r="A70" s="64" t="s">
        <v>342</v>
      </c>
      <c r="B70" s="64"/>
      <c r="C70" s="65"/>
      <c r="D70" s="65" t="str">
        <f>IF(A70="","",IF(COUNTIF(Producción!$B$2:$B$101,A70)=0,"SUELTA",IF(COUNTIF(Producción!$B$2:$B$101,A70)&gt;1,"DUPLICADA",IF(INDEX(Producción!$E$2:$E$101,MATCH(A70,Producción!$B$2:$B$101,0))="","SUELTA",TEXT(INDEX(Producción!$A$2:$A$101,MATCH(A70,Producción!$B$2:$B$101,0)),"0000")))))</f>
        <v>0080</v>
      </c>
      <c r="E70" s="20"/>
      <c r="F70" s="64" t="s">
        <v>442</v>
      </c>
      <c r="G70" s="64"/>
      <c r="H70" s="65"/>
      <c r="I70" s="65" t="str">
        <f>IF(F70="","",IF(COUNTIF(Producción!$E$2:$E$101,F70)=0,"SUELTA",IF(COUNTIF(Producción!$E$2:$E$101,F70)&gt;1,"DUPLICADA",IF(INDEX(Producción!$B$2:$B$101,MATCH(F70,Producción!$E$2:$E$101,0))="","SUELTA",TEXT(INDEX(Producción!$A$2:$A$101,MATCH(F70,Producción!$E$2:$E$101,0)),"0000")))))</f>
        <v>0081</v>
      </c>
      <c r="K70" s="64" t="s">
        <v>548</v>
      </c>
      <c r="L70" s="65"/>
      <c r="M70" s="64" t="str">
        <f>IF(K70="","",IF(COUNTIF(Producción!$H$2:$H$101,K70)=0,"DISPONIBLE",IF(COUNTIF(Producción!$H$2:$H$101,K70)&gt;1,"DUPLICADA",INDEX(Producción!$A$2:$A$101,MATCH(K70,Producción!$H$2:$H$101,0)))))</f>
        <v>DISPONIBLE</v>
      </c>
      <c r="O70" s="64" t="str">
        <v>TQT-R3-V30-0079</v>
      </c>
    </row>
    <row r="71" spans="1:15" ht="17.7" customHeight="1">
      <c r="A71" s="64" t="s">
        <v>343</v>
      </c>
      <c r="B71" s="64"/>
      <c r="C71" s="65"/>
      <c r="D71" s="65" t="str">
        <f>IF(A71="","",IF(COUNTIF(Producción!$B$2:$B$101,A71)=0,"SUELTA",IF(COUNTIF(Producción!$B$2:$B$101,A71)&gt;1,"DUPLICADA",IF(INDEX(Producción!$E$2:$E$101,MATCH(A71,Producción!$B$2:$B$101,0))="","SUELTA",TEXT(INDEX(Producción!$A$2:$A$101,MATCH(A71,Producción!$B$2:$B$101,0)),"0000")))))</f>
        <v>0081</v>
      </c>
      <c r="E71" s="20"/>
      <c r="F71" s="64" t="s">
        <v>443</v>
      </c>
      <c r="G71" s="64"/>
      <c r="H71" s="65"/>
      <c r="I71" s="65" t="str">
        <f>IF(F71="","",IF(COUNTIF(Producción!$E$2:$E$101,F71)=0,"SUELTA",IF(COUNTIF(Producción!$E$2:$E$101,F71)&gt;1,"DUPLICADA",IF(INDEX(Producción!$B$2:$B$101,MATCH(F71,Producción!$E$2:$E$101,0))="","SUELTA",TEXT(INDEX(Producción!$A$2:$A$101,MATCH(F71,Producción!$E$2:$E$101,0)),"0000")))))</f>
        <v>0038</v>
      </c>
      <c r="K71" s="64" t="s">
        <v>549</v>
      </c>
      <c r="L71" s="65"/>
      <c r="M71" s="64" t="str">
        <f>IF(K71="","",IF(COUNTIF(Producción!$H$2:$H$101,K71)=0,"DISPONIBLE",IF(COUNTIF(Producción!$H$2:$H$101,K71)&gt;1,"DUPLICADA",INDEX(Producción!$A$2:$A$101,MATCH(K71,Producción!$H$2:$H$101,0)))))</f>
        <v>DISPONIBLE</v>
      </c>
      <c r="O71" s="64" t="str">
        <v>TQT-R3-V30-0080</v>
      </c>
    </row>
    <row r="72" spans="1:15" ht="17.7" customHeight="1">
      <c r="A72" s="64" t="s">
        <v>344</v>
      </c>
      <c r="B72" s="64"/>
      <c r="C72" s="65"/>
      <c r="D72" s="65" t="str">
        <f>IF(A72="","",IF(COUNTIF(Producción!$B$2:$B$101,A72)=0,"SUELTA",IF(COUNTIF(Producción!$B$2:$B$101,A72)&gt;1,"DUPLICADA",IF(INDEX(Producción!$E$2:$E$101,MATCH(A72,Producción!$B$2:$B$101,0))="","SUELTA",TEXT(INDEX(Producción!$A$2:$A$101,MATCH(A72,Producción!$B$2:$B$101,0)),"0000")))))</f>
        <v>0083</v>
      </c>
      <c r="E72" s="20"/>
      <c r="F72" s="64" t="s">
        <v>444</v>
      </c>
      <c r="G72" s="64"/>
      <c r="H72" s="65"/>
      <c r="I72" s="65" t="str">
        <f>IF(F72="","",IF(COUNTIF(Producción!$E$2:$E$101,F72)=0,"SUELTA",IF(COUNTIF(Producción!$E$2:$E$101,F72)&gt;1,"DUPLICADA",IF(INDEX(Producción!$B$2:$B$101,MATCH(F72,Producción!$E$2:$E$101,0))="","SUELTA",TEXT(INDEX(Producción!$A$2:$A$101,MATCH(F72,Producción!$E$2:$E$101,0)),"0000")))))</f>
        <v>0083</v>
      </c>
      <c r="K72" s="64" t="s">
        <v>550</v>
      </c>
      <c r="L72" s="65"/>
      <c r="M72" s="64" t="str">
        <f>IF(K72="","",IF(COUNTIF(Producción!$H$2:$H$101,K72)=0,"DISPONIBLE",IF(COUNTIF(Producción!$H$2:$H$101,K72)&gt;1,"DUPLICADA",INDEX(Producción!$A$2:$A$101,MATCH(K72,Producción!$H$2:$H$101,0)))))</f>
        <v>DISPONIBLE</v>
      </c>
      <c r="O72" s="64" t="str">
        <v>TQT-R3-V30-0081</v>
      </c>
    </row>
    <row r="73" spans="1:15" ht="17.7" customHeight="1">
      <c r="A73" s="64" t="s">
        <v>345</v>
      </c>
      <c r="B73" s="64"/>
      <c r="C73" s="65"/>
      <c r="D73" s="65" t="str">
        <f>IF(A73="","",IF(COUNTIF(Producción!$B$2:$B$101,A73)=0,"SUELTA",IF(COUNTIF(Producción!$B$2:$B$101,A73)&gt;1,"DUPLICADA",IF(INDEX(Producción!$E$2:$E$101,MATCH(A73,Producción!$B$2:$B$101,0))="","SUELTA",TEXT(INDEX(Producción!$A$2:$A$101,MATCH(A73,Producción!$B$2:$B$101,0)),"0000")))))</f>
        <v>0084</v>
      </c>
      <c r="E73" s="20"/>
      <c r="F73" s="64" t="s">
        <v>445</v>
      </c>
      <c r="G73" s="64"/>
      <c r="H73" s="65"/>
      <c r="I73" s="65" t="str">
        <f>IF(F73="","",IF(COUNTIF(Producción!$E$2:$E$101,F73)=0,"SUELTA",IF(COUNTIF(Producción!$E$2:$E$101,F73)&gt;1,"DUPLICADA",IF(INDEX(Producción!$B$2:$B$101,MATCH(F73,Producción!$E$2:$E$101,0))="","SUELTA",TEXT(INDEX(Producción!$A$2:$A$101,MATCH(F73,Producción!$E$2:$E$101,0)),"0000")))))</f>
        <v>0084</v>
      </c>
      <c r="K73" s="64" t="s">
        <v>551</v>
      </c>
      <c r="L73" s="65"/>
      <c r="M73" s="64" t="str">
        <f>IF(K73="","",IF(COUNTIF(Producción!$H$2:$H$101,K73)=0,"DISPONIBLE",IF(COUNTIF(Producción!$H$2:$H$101,K73)&gt;1,"DUPLICADA",INDEX(Producción!$A$2:$A$101,MATCH(K73,Producción!$H$2:$H$101,0)))))</f>
        <v>DISPONIBLE</v>
      </c>
      <c r="O73" s="64" t="str">
        <v>TQT-R3-V30-0082</v>
      </c>
    </row>
    <row r="74" spans="1:15" ht="17.7" customHeight="1">
      <c r="A74" s="64" t="s">
        <v>346</v>
      </c>
      <c r="B74" s="64"/>
      <c r="C74" s="65"/>
      <c r="D74" s="65" t="str">
        <f>IF(A74="","",IF(COUNTIF(Producción!$B$2:$B$101,A74)=0,"SUELTA",IF(COUNTIF(Producción!$B$2:$B$101,A74)&gt;1,"DUPLICADA",IF(INDEX(Producción!$E$2:$E$101,MATCH(A74,Producción!$B$2:$B$101,0))="","SUELTA",TEXT(INDEX(Producción!$A$2:$A$101,MATCH(A74,Producción!$B$2:$B$101,0)),"0000")))))</f>
        <v>0085</v>
      </c>
      <c r="E74" s="20"/>
      <c r="F74" s="64" t="s">
        <v>446</v>
      </c>
      <c r="G74" s="64"/>
      <c r="H74" s="65"/>
      <c r="I74" s="65" t="str">
        <f>IF(F74="","",IF(COUNTIF(Producción!$E$2:$E$101,F74)=0,"SUELTA",IF(COUNTIF(Producción!$E$2:$E$101,F74)&gt;1,"DUPLICADA",IF(INDEX(Producción!$B$2:$B$101,MATCH(F74,Producción!$E$2:$E$101,0))="","SUELTA",TEXT(INDEX(Producción!$A$2:$A$101,MATCH(F74,Producción!$E$2:$E$101,0)),"0000")))))</f>
        <v>0085</v>
      </c>
      <c r="K74" s="64" t="s">
        <v>552</v>
      </c>
      <c r="L74" s="65"/>
      <c r="M74" s="64" t="str">
        <f>IF(K74="","",IF(COUNTIF(Producción!$H$2:$H$101,K74)=0,"DISPONIBLE",IF(COUNTIF(Producción!$H$2:$H$101,K74)&gt;1,"DUPLICADA",INDEX(Producción!$A$2:$A$101,MATCH(K74,Producción!$H$2:$H$101,0)))))</f>
        <v>DISPONIBLE</v>
      </c>
      <c r="O74" s="64" t="str">
        <v>TQT-R3-V30-0083</v>
      </c>
    </row>
    <row r="75" spans="1:15" ht="17.7" customHeight="1">
      <c r="A75" s="64" t="s">
        <v>347</v>
      </c>
      <c r="B75" s="64"/>
      <c r="C75" s="65"/>
      <c r="D75" s="65" t="str">
        <f>IF(A75="","",IF(COUNTIF(Producción!$B$2:$B$101,A75)=0,"SUELTA",IF(COUNTIF(Producción!$B$2:$B$101,A75)&gt;1,"DUPLICADA",IF(INDEX(Producción!$E$2:$E$101,MATCH(A75,Producción!$B$2:$B$101,0))="","SUELTA",TEXT(INDEX(Producción!$A$2:$A$101,MATCH(A75,Producción!$B$2:$B$101,0)),"0000")))))</f>
        <v>0086</v>
      </c>
      <c r="E75" s="20"/>
      <c r="F75" s="64" t="s">
        <v>447</v>
      </c>
      <c r="G75" s="64"/>
      <c r="H75" s="65"/>
      <c r="I75" s="65" t="str">
        <f>IF(F75="","",IF(COUNTIF(Producción!$E$2:$E$101,F75)=0,"SUELTA",IF(COUNTIF(Producción!$E$2:$E$101,F75)&gt;1,"DUPLICADA",IF(INDEX(Producción!$B$2:$B$101,MATCH(F75,Producción!$E$2:$E$101,0))="","SUELTA",TEXT(INDEX(Producción!$A$2:$A$101,MATCH(F75,Producción!$E$2:$E$101,0)),"0000")))))</f>
        <v>0086</v>
      </c>
      <c r="K75" s="64" t="s">
        <v>553</v>
      </c>
      <c r="L75" s="65"/>
      <c r="M75" s="64" t="str">
        <f>IF(K75="","",IF(COUNTIF(Producción!$H$2:$H$101,K75)=0,"DISPONIBLE",IF(COUNTIF(Producción!$H$2:$H$101,K75)&gt;1,"DUPLICADA",INDEX(Producción!$A$2:$A$101,MATCH(K75,Producción!$H$2:$H$101,0)))))</f>
        <v>DISPONIBLE</v>
      </c>
      <c r="O75" s="64" t="str">
        <v>TQT-R3-V30-0084</v>
      </c>
    </row>
    <row r="76" spans="1:15" ht="17.7" customHeight="1">
      <c r="A76" s="64" t="s">
        <v>348</v>
      </c>
      <c r="B76" s="64"/>
      <c r="C76" s="65"/>
      <c r="D76" s="65" t="str">
        <f>IF(A76="","",IF(COUNTIF(Producción!$B$2:$B$101,A76)=0,"SUELTA",IF(COUNTIF(Producción!$B$2:$B$101,A76)&gt;1,"DUPLICADA",IF(INDEX(Producción!$E$2:$E$101,MATCH(A76,Producción!$B$2:$B$101,0))="","SUELTA",TEXT(INDEX(Producción!$A$2:$A$101,MATCH(A76,Producción!$B$2:$B$101,0)),"0000")))))</f>
        <v>0087</v>
      </c>
      <c r="E76" s="20"/>
      <c r="F76" s="64" t="s">
        <v>448</v>
      </c>
      <c r="G76" s="64"/>
      <c r="H76" s="65"/>
      <c r="I76" s="65" t="str">
        <f>IF(F76="","",IF(COUNTIF(Producción!$E$2:$E$101,F76)=0,"SUELTA",IF(COUNTIF(Producción!$E$2:$E$101,F76)&gt;1,"DUPLICADA",IF(INDEX(Producción!$B$2:$B$101,MATCH(F76,Producción!$E$2:$E$101,0))="","SUELTA",TEXT(INDEX(Producción!$A$2:$A$101,MATCH(F76,Producción!$E$2:$E$101,0)),"0000")))))</f>
        <v>0087</v>
      </c>
      <c r="K76" s="64" t="s">
        <v>554</v>
      </c>
      <c r="L76" s="65"/>
      <c r="M76" s="64" t="str">
        <f>IF(K76="","",IF(COUNTIF(Producción!$H$2:$H$101,K76)=0,"DISPONIBLE",IF(COUNTIF(Producción!$H$2:$H$101,K76)&gt;1,"DUPLICADA",INDEX(Producción!$A$2:$A$101,MATCH(K76,Producción!$H$2:$H$101,0)))))</f>
        <v>DISPONIBLE</v>
      </c>
      <c r="O76" s="64" t="str">
        <v>TQT-R3-V30-0085</v>
      </c>
    </row>
    <row r="77" spans="1:15" ht="17.7" customHeight="1">
      <c r="A77" s="64" t="s">
        <v>349</v>
      </c>
      <c r="B77" s="64"/>
      <c r="C77" s="65"/>
      <c r="D77" s="65" t="str">
        <f>IF(A77="","",IF(COUNTIF(Producción!$B$2:$B$101,A77)=0,"SUELTA",IF(COUNTIF(Producción!$B$2:$B$101,A77)&gt;1,"DUPLICADA",IF(INDEX(Producción!$E$2:$E$101,MATCH(A77,Producción!$B$2:$B$101,0))="","SUELTA",TEXT(INDEX(Producción!$A$2:$A$101,MATCH(A77,Producción!$B$2:$B$101,0)),"0000")))))</f>
        <v>0089</v>
      </c>
      <c r="E77" s="20"/>
      <c r="F77" s="64" t="s">
        <v>449</v>
      </c>
      <c r="G77" s="64"/>
      <c r="H77" s="65"/>
      <c r="I77" s="65" t="str">
        <f>IF(F77="","",IF(COUNTIF(Producción!$E$2:$E$101,F77)=0,"SUELTA",IF(COUNTIF(Producción!$E$2:$E$101,F77)&gt;1,"DUPLICADA",IF(INDEX(Producción!$B$2:$B$101,MATCH(F77,Producción!$E$2:$E$101,0))="","SUELTA",TEXT(INDEX(Producción!$A$2:$A$101,MATCH(F77,Producción!$E$2:$E$101,0)),"0000")))))</f>
        <v>0107</v>
      </c>
      <c r="K77" s="64" t="s">
        <v>555</v>
      </c>
      <c r="L77" s="65"/>
      <c r="M77" s="64" t="str">
        <f>IF(K77="","",IF(COUNTIF(Producción!$H$2:$H$101,K77)=0,"DISPONIBLE",IF(COUNTIF(Producción!$H$2:$H$101,K77)&gt;1,"DUPLICADA",INDEX(Producción!$A$2:$A$101,MATCH(K77,Producción!$H$2:$H$101,0)))))</f>
        <v>DISPONIBLE</v>
      </c>
      <c r="O77" s="64" t="str">
        <v>TQT-R3-V30-0086</v>
      </c>
    </row>
    <row r="78" spans="1:15" ht="17.7" customHeight="1">
      <c r="A78" s="64" t="s">
        <v>350</v>
      </c>
      <c r="B78" s="64"/>
      <c r="C78" s="65"/>
      <c r="D78" s="65" t="str">
        <f>IF(A78="","",IF(COUNTIF(Producción!$B$2:$B$101,A78)=0,"SUELTA",IF(COUNTIF(Producción!$B$2:$B$101,A78)&gt;1,"DUPLICADA",IF(INDEX(Producción!$E$2:$E$101,MATCH(A78,Producción!$B$2:$B$101,0))="","SUELTA",TEXT(INDEX(Producción!$A$2:$A$101,MATCH(A78,Producción!$B$2:$B$101,0)),"0000")))))</f>
        <v>0092</v>
      </c>
      <c r="E78" s="20"/>
      <c r="F78" s="64" t="s">
        <v>450</v>
      </c>
      <c r="G78" s="64"/>
      <c r="H78" s="65"/>
      <c r="I78" s="65" t="str">
        <f>IF(F78="","",IF(COUNTIF(Producción!$E$2:$E$101,F78)=0,"SUELTA",IF(COUNTIF(Producción!$E$2:$E$101,F78)&gt;1,"DUPLICADA",IF(INDEX(Producción!$B$2:$B$101,MATCH(F78,Producción!$E$2:$E$101,0))="","SUELTA",TEXT(INDEX(Producción!$A$2:$A$101,MATCH(F78,Producción!$E$2:$E$101,0)),"0000")))))</f>
        <v>0089</v>
      </c>
      <c r="K78" s="64" t="s">
        <v>556</v>
      </c>
      <c r="L78" s="65"/>
      <c r="M78" s="64" t="str">
        <f>IF(K78="","",IF(COUNTIF(Producción!$H$2:$H$101,K78)=0,"DISPONIBLE",IF(COUNTIF(Producción!$H$2:$H$101,K78)&gt;1,"DUPLICADA",INDEX(Producción!$A$2:$A$101,MATCH(K78,Producción!$H$2:$H$101,0)))))</f>
        <v>DISPONIBLE</v>
      </c>
      <c r="O78" s="64" t="str">
        <v>TQT-R3-V30-0087</v>
      </c>
    </row>
    <row r="79" spans="1:15" ht="17.7" customHeight="1">
      <c r="A79" s="64" t="s">
        <v>351</v>
      </c>
      <c r="B79" s="64"/>
      <c r="C79" s="65"/>
      <c r="D79" s="65" t="str">
        <f>IF(A79="","",IF(COUNTIF(Producción!$B$2:$B$101,A79)=0,"SUELTA",IF(COUNTIF(Producción!$B$2:$B$101,A79)&gt;1,"DUPLICADA",IF(INDEX(Producción!$E$2:$E$101,MATCH(A79,Producción!$B$2:$B$101,0))="","SUELTA",TEXT(INDEX(Producción!$A$2:$A$101,MATCH(A79,Producción!$B$2:$B$101,0)),"0000")))))</f>
        <v>0093</v>
      </c>
      <c r="E79" s="20"/>
      <c r="F79" s="64" t="s">
        <v>451</v>
      </c>
      <c r="G79" s="64"/>
      <c r="H79" s="65"/>
      <c r="I79" s="65" t="str">
        <f>IF(F79="","",IF(COUNTIF(Producción!$E$2:$E$101,F79)=0,"SUELTA",IF(COUNTIF(Producción!$E$2:$E$101,F79)&gt;1,"DUPLICADA",IF(INDEX(Producción!$B$2:$B$101,MATCH(F79,Producción!$E$2:$E$101,0))="","SUELTA",TEXT(INDEX(Producción!$A$2:$A$101,MATCH(F79,Producción!$E$2:$E$101,0)),"0000")))))</f>
        <v>0112</v>
      </c>
      <c r="K79" s="64" t="s">
        <v>557</v>
      </c>
      <c r="L79" s="65"/>
      <c r="M79" s="64" t="str">
        <f>IF(K79="","",IF(COUNTIF(Producción!$H$2:$H$101,K79)=0,"DISPONIBLE",IF(COUNTIF(Producción!$H$2:$H$101,K79)&gt;1,"DUPLICADA",INDEX(Producción!$A$2:$A$101,MATCH(K79,Producción!$H$2:$H$101,0)))))</f>
        <v>DISPONIBLE</v>
      </c>
      <c r="O79" s="64" t="str">
        <v>TQT-R3-V30-0088</v>
      </c>
    </row>
    <row r="80" spans="1:15" ht="17.7" customHeight="1">
      <c r="A80" s="64" t="s">
        <v>352</v>
      </c>
      <c r="B80" s="64"/>
      <c r="C80" s="65"/>
      <c r="D80" s="65" t="str">
        <f>IF(A80="","",IF(COUNTIF(Producción!$B$2:$B$101,A80)=0,"SUELTA",IF(COUNTIF(Producción!$B$2:$B$101,A80)&gt;1,"DUPLICADA",IF(INDEX(Producción!$E$2:$E$101,MATCH(A80,Producción!$B$2:$B$101,0))="","SUELTA",TEXT(INDEX(Producción!$A$2:$A$101,MATCH(A80,Producción!$B$2:$B$101,0)),"0000")))))</f>
        <v>0094</v>
      </c>
      <c r="E80" s="20"/>
      <c r="F80" s="64" t="s">
        <v>452</v>
      </c>
      <c r="G80" s="64"/>
      <c r="H80" s="65"/>
      <c r="I80" s="65" t="str">
        <f>IF(F80="","",IF(COUNTIF(Producción!$E$2:$E$101,F80)=0,"SUELTA",IF(COUNTIF(Producción!$E$2:$E$101,F80)&gt;1,"DUPLICADA",IF(INDEX(Producción!$B$2:$B$101,MATCH(F80,Producción!$E$2:$E$101,0))="","SUELTA",TEXT(INDEX(Producción!$A$2:$A$101,MATCH(F80,Producción!$E$2:$E$101,0)),"0000")))))</f>
        <v>0113</v>
      </c>
      <c r="K80" s="64" t="s">
        <v>558</v>
      </c>
      <c r="L80" s="65"/>
      <c r="M80" s="64" t="str">
        <f>IF(K80="","",IF(COUNTIF(Producción!$H$2:$H$101,K80)=0,"DISPONIBLE",IF(COUNTIF(Producción!$H$2:$H$101,K80)&gt;1,"DUPLICADA",INDEX(Producción!$A$2:$A$101,MATCH(K80,Producción!$H$2:$H$101,0)))))</f>
        <v>DISPONIBLE</v>
      </c>
      <c r="O80" s="64" t="str">
        <v>TQT-R3-V30-0089</v>
      </c>
    </row>
    <row r="81" spans="1:15" ht="17.7" customHeight="1">
      <c r="A81" s="64" t="s">
        <v>353</v>
      </c>
      <c r="B81" s="64"/>
      <c r="C81" s="65"/>
      <c r="D81" s="65" t="str">
        <f>IF(A81="","",IF(COUNTIF(Producción!$B$2:$B$101,A81)=0,"SUELTA",IF(COUNTIF(Producción!$B$2:$B$101,A81)&gt;1,"DUPLICADA",IF(INDEX(Producción!$E$2:$E$101,MATCH(A81,Producción!$B$2:$B$101,0))="","SUELTA",TEXT(INDEX(Producción!$A$2:$A$101,MATCH(A81,Producción!$B$2:$B$101,0)),"0000")))))</f>
        <v>0098</v>
      </c>
      <c r="E81" s="20"/>
      <c r="F81" s="64" t="s">
        <v>453</v>
      </c>
      <c r="G81" s="64"/>
      <c r="H81" s="65"/>
      <c r="I81" s="65" t="str">
        <f>IF(F81="","",IF(COUNTIF(Producción!$E$2:$E$101,F81)=0,"SUELTA",IF(COUNTIF(Producción!$E$2:$E$101,F81)&gt;1,"DUPLICADA",IF(INDEX(Producción!$B$2:$B$101,MATCH(F81,Producción!$E$2:$E$101,0))="","SUELTA",TEXT(INDEX(Producción!$A$2:$A$101,MATCH(F81,Producción!$E$2:$E$101,0)),"0000")))))</f>
        <v>0092</v>
      </c>
      <c r="K81" s="64" t="s">
        <v>559</v>
      </c>
      <c r="L81" s="65"/>
      <c r="M81" s="64" t="str">
        <f>IF(K81="","",IF(COUNTIF(Producción!$H$2:$H$101,K81)=0,"DISPONIBLE",IF(COUNTIF(Producción!$H$2:$H$101,K81)&gt;1,"DUPLICADA",INDEX(Producción!$A$2:$A$101,MATCH(K81,Producción!$H$2:$H$101,0)))))</f>
        <v>DISPONIBLE</v>
      </c>
      <c r="O81" s="64" t="str">
        <v>TQT-R3-V30-0090</v>
      </c>
    </row>
    <row r="82" spans="1:15" ht="17.7" customHeight="1">
      <c r="A82" s="64" t="s">
        <v>354</v>
      </c>
      <c r="B82" s="64"/>
      <c r="C82" s="65"/>
      <c r="D82" s="65" t="str">
        <f>IF(A82="","",IF(COUNTIF(Producción!$B$2:$B$101,A82)=0,"SUELTA",IF(COUNTIF(Producción!$B$2:$B$101,A82)&gt;1,"DUPLICADA",IF(INDEX(Producción!$E$2:$E$101,MATCH(A82,Producción!$B$2:$B$101,0))="","SUELTA",TEXT(INDEX(Producción!$A$2:$A$101,MATCH(A82,Producción!$B$2:$B$101,0)),"0000")))))</f>
        <v>0099</v>
      </c>
      <c r="E82" s="20"/>
      <c r="F82" s="64" t="s">
        <v>454</v>
      </c>
      <c r="G82" s="64"/>
      <c r="H82" s="65"/>
      <c r="I82" s="65" t="str">
        <f>IF(F82="","",IF(COUNTIF(Producción!$E$2:$E$101,F82)=0,"SUELTA",IF(COUNTIF(Producción!$E$2:$E$101,F82)&gt;1,"DUPLICADA",IF(INDEX(Producción!$B$2:$B$101,MATCH(F82,Producción!$E$2:$E$101,0))="","SUELTA",TEXT(INDEX(Producción!$A$2:$A$101,MATCH(F82,Producción!$E$2:$E$101,0)),"0000")))))</f>
        <v>0093</v>
      </c>
      <c r="K82" s="64" t="s">
        <v>560</v>
      </c>
      <c r="L82" s="65"/>
      <c r="M82" s="64" t="str">
        <f>IF(K82="","",IF(COUNTIF(Producción!$H$2:$H$101,K82)=0,"DISPONIBLE",IF(COUNTIF(Producción!$H$2:$H$101,K82)&gt;1,"DUPLICADA",INDEX(Producción!$A$2:$A$101,MATCH(K82,Producción!$H$2:$H$101,0)))))</f>
        <v>DISPONIBLE</v>
      </c>
      <c r="O82" s="64" t="str">
        <v>TQT-R3-V30-0091</v>
      </c>
    </row>
    <row r="83" spans="1:15" ht="17.7" customHeight="1">
      <c r="A83" s="64" t="s">
        <v>355</v>
      </c>
      <c r="B83" s="64"/>
      <c r="C83" s="65"/>
      <c r="D83" s="65" t="str">
        <f>IF(A83="","",IF(COUNTIF(Producción!$B$2:$B$101,A83)=0,"SUELTA",IF(COUNTIF(Producción!$B$2:$B$101,A83)&gt;1,"DUPLICADA",IF(INDEX(Producción!$E$2:$E$101,MATCH(A83,Producción!$B$2:$B$101,0))="","SUELTA",TEXT(INDEX(Producción!$A$2:$A$101,MATCH(A83,Producción!$B$2:$B$101,0)),"0000")))))</f>
        <v>0100</v>
      </c>
      <c r="E83" s="20"/>
      <c r="F83" s="64" t="s">
        <v>455</v>
      </c>
      <c r="G83" s="64"/>
      <c r="H83" s="65"/>
      <c r="I83" s="65" t="str">
        <f>IF(F83="","",IF(COUNTIF(Producción!$E$2:$E$101,F83)=0,"SUELTA",IF(COUNTIF(Producción!$E$2:$E$101,F83)&gt;1,"DUPLICADA",IF(INDEX(Producción!$B$2:$B$101,MATCH(F83,Producción!$E$2:$E$101,0))="","SUELTA",TEXT(INDEX(Producción!$A$2:$A$101,MATCH(F83,Producción!$E$2:$E$101,0)),"0000")))))</f>
        <v>0094</v>
      </c>
      <c r="K83" s="64" t="s">
        <v>561</v>
      </c>
      <c r="L83" s="65"/>
      <c r="M83" s="64" t="str">
        <f>IF(K83="","",IF(COUNTIF(Producción!$H$2:$H$101,K83)=0,"DISPONIBLE",IF(COUNTIF(Producción!$H$2:$H$101,K83)&gt;1,"DUPLICADA",INDEX(Producción!$A$2:$A$101,MATCH(K83,Producción!$H$2:$H$101,0)))))</f>
        <v>DISPONIBLE</v>
      </c>
      <c r="O83" s="64" t="str">
        <v>TQT-R3-V30-0092</v>
      </c>
    </row>
    <row r="84" spans="1:15" ht="17.7" customHeight="1">
      <c r="A84" s="64" t="s">
        <v>356</v>
      </c>
      <c r="B84" s="64"/>
      <c r="C84" s="65"/>
      <c r="D84" s="65" t="str">
        <f>IF(A84="","",IF(COUNTIF(Producción!$B$2:$B$101,A84)=0,"SUELTA",IF(COUNTIF(Producción!$B$2:$B$101,A84)&gt;1,"DUPLICADA",IF(INDEX(Producción!$E$2:$E$101,MATCH(A84,Producción!$B$2:$B$101,0))="","SUELTA",TEXT(INDEX(Producción!$A$2:$A$101,MATCH(A84,Producción!$B$2:$B$101,0)),"0000")))))</f>
        <v>0101</v>
      </c>
      <c r="E84" s="20"/>
      <c r="F84" s="64" t="s">
        <v>456</v>
      </c>
      <c r="G84" s="64"/>
      <c r="H84" s="65"/>
      <c r="I84" s="65" t="str">
        <f>IF(F84="","",IF(COUNTIF(Producción!$E$2:$E$101,F84)=0,"SUELTA",IF(COUNTIF(Producción!$E$2:$E$101,F84)&gt;1,"DUPLICADA",IF(INDEX(Producción!$B$2:$B$101,MATCH(F84,Producción!$E$2:$E$101,0))="","SUELTA",TEXT(INDEX(Producción!$A$2:$A$101,MATCH(F84,Producción!$E$2:$E$101,0)),"0000")))))</f>
        <v>0114</v>
      </c>
      <c r="K84" s="64" t="s">
        <v>562</v>
      </c>
      <c r="L84" s="65"/>
      <c r="M84" s="64" t="str">
        <f>IF(K84="","",IF(COUNTIF(Producción!$H$2:$H$101,K84)=0,"DISPONIBLE",IF(COUNTIF(Producción!$H$2:$H$101,K84)&gt;1,"DUPLICADA",INDEX(Producción!$A$2:$A$101,MATCH(K84,Producción!$H$2:$H$101,0)))))</f>
        <v>DISPONIBLE</v>
      </c>
      <c r="O84" s="64" t="str">
        <v>TQT-R3-V30-0093</v>
      </c>
    </row>
    <row r="85" spans="1:15" ht="17.7" customHeight="1">
      <c r="A85" s="64" t="s">
        <v>357</v>
      </c>
      <c r="B85" s="64"/>
      <c r="C85" s="65"/>
      <c r="D85" s="65" t="str">
        <f>IF(A85="","",IF(COUNTIF(Producción!$B$2:$B$101,A85)=0,"SUELTA",IF(COUNTIF(Producción!$B$2:$B$101,A85)&gt;1,"DUPLICADA",IF(INDEX(Producción!$E$2:$E$101,MATCH(A85,Producción!$B$2:$B$101,0))="","SUELTA",TEXT(INDEX(Producción!$A$2:$A$101,MATCH(A85,Producción!$B$2:$B$101,0)),"0000")))))</f>
        <v>0103</v>
      </c>
      <c r="E85" s="20"/>
      <c r="F85" s="64" t="s">
        <v>457</v>
      </c>
      <c r="G85" s="64"/>
      <c r="H85" s="65"/>
      <c r="I85" s="65" t="str">
        <f>IF(F85="","",IF(COUNTIF(Producción!$E$2:$E$101,F85)=0,"SUELTA",IF(COUNTIF(Producción!$E$2:$E$101,F85)&gt;1,"DUPLICADA",IF(INDEX(Producción!$B$2:$B$101,MATCH(F85,Producción!$E$2:$E$101,0))="","SUELTA",TEXT(INDEX(Producción!$A$2:$A$101,MATCH(F85,Producción!$E$2:$E$101,0)),"0000")))))</f>
        <v>0119</v>
      </c>
      <c r="K85" s="64" t="s">
        <v>563</v>
      </c>
      <c r="L85" s="65"/>
      <c r="M85" s="64" t="str">
        <f>IF(K85="","",IF(COUNTIF(Producción!$H$2:$H$101,K85)=0,"DISPONIBLE",IF(COUNTIF(Producción!$H$2:$H$101,K85)&gt;1,"DUPLICADA",INDEX(Producción!$A$2:$A$101,MATCH(K85,Producción!$H$2:$H$101,0)))))</f>
        <v>DISPONIBLE</v>
      </c>
      <c r="O85" s="64" t="str">
        <v>TQT-R3-V30-0094</v>
      </c>
    </row>
    <row r="86" spans="1:15" ht="17.7" customHeight="1">
      <c r="A86" s="64" t="s">
        <v>358</v>
      </c>
      <c r="B86" s="64"/>
      <c r="C86" s="65"/>
      <c r="D86" s="65" t="str">
        <f>IF(A86="","",IF(COUNTIF(Producción!$B$2:$B$101,A86)=0,"SUELTA",IF(COUNTIF(Producción!$B$2:$B$101,A86)&gt;1,"DUPLICADA",IF(INDEX(Producción!$E$2:$E$101,MATCH(A86,Producción!$B$2:$B$101,0))="","SUELTA",TEXT(INDEX(Producción!$A$2:$A$101,MATCH(A86,Producción!$B$2:$B$101,0)),"0000")))))</f>
        <v>0104</v>
      </c>
      <c r="E86" s="20"/>
      <c r="F86" s="64" t="s">
        <v>458</v>
      </c>
      <c r="G86" s="64"/>
      <c r="H86" s="65"/>
      <c r="I86" s="65" t="str">
        <f>IF(F86="","",IF(COUNTIF(Producción!$E$2:$E$101,F86)=0,"SUELTA",IF(COUNTIF(Producción!$E$2:$E$101,F86)&gt;1,"DUPLICADA",IF(INDEX(Producción!$B$2:$B$101,MATCH(F86,Producción!$E$2:$E$101,0))="","SUELTA",TEXT(INDEX(Producción!$A$2:$A$101,MATCH(F86,Producción!$E$2:$E$101,0)),"0000")))))</f>
        <v>0120</v>
      </c>
      <c r="K86" s="64" t="s">
        <v>564</v>
      </c>
      <c r="L86" s="65"/>
      <c r="M86" s="64" t="str">
        <f>IF(K86="","",IF(COUNTIF(Producción!$H$2:$H$101,K86)=0,"DISPONIBLE",IF(COUNTIF(Producción!$H$2:$H$101,K86)&gt;1,"DUPLICADA",INDEX(Producción!$A$2:$A$101,MATCH(K86,Producción!$H$2:$H$101,0)))))</f>
        <v>DISPONIBLE</v>
      </c>
      <c r="O86" s="64" t="str">
        <v>TQT-R3-V30-0095</v>
      </c>
    </row>
    <row r="87" spans="1:15" ht="17.7" customHeight="1">
      <c r="A87" s="64" t="s">
        <v>359</v>
      </c>
      <c r="B87" s="64"/>
      <c r="C87" s="65"/>
      <c r="D87" s="65" t="str">
        <f>IF(A87="","",IF(COUNTIF(Producción!$B$2:$B$101,A87)=0,"SUELTA",IF(COUNTIF(Producción!$B$2:$B$101,A87)&gt;1,"DUPLICADA",IF(INDEX(Producción!$E$2:$E$101,MATCH(A87,Producción!$B$2:$B$101,0))="","SUELTA",TEXT(INDEX(Producción!$A$2:$A$101,MATCH(A87,Producción!$B$2:$B$101,0)),"0000")))))</f>
        <v>0105</v>
      </c>
      <c r="E87" s="20"/>
      <c r="F87" s="64" t="s">
        <v>459</v>
      </c>
      <c r="G87" s="64"/>
      <c r="H87" s="65"/>
      <c r="I87" s="65" t="str">
        <f>IF(F87="","",IF(COUNTIF(Producción!$E$2:$E$101,F87)=0,"SUELTA",IF(COUNTIF(Producción!$E$2:$E$101,F87)&gt;1,"DUPLICADA",IF(INDEX(Producción!$B$2:$B$101,MATCH(F87,Producción!$E$2:$E$101,0))="","SUELTA",TEXT(INDEX(Producción!$A$2:$A$101,MATCH(F87,Producción!$E$2:$E$101,0)),"0000")))))</f>
        <v>0098</v>
      </c>
      <c r="K87" s="64" t="s">
        <v>565</v>
      </c>
      <c r="L87" s="65"/>
      <c r="M87" s="64" t="str">
        <f>IF(K87="","",IF(COUNTIF(Producción!$H$2:$H$101,K87)=0,"DISPONIBLE",IF(COUNTIF(Producción!$H$2:$H$101,K87)&gt;1,"DUPLICADA",INDEX(Producción!$A$2:$A$101,MATCH(K87,Producción!$H$2:$H$101,0)))))</f>
        <v>DISPONIBLE</v>
      </c>
      <c r="O87" s="64" t="str">
        <v>TQT-R3-V30-0096</v>
      </c>
    </row>
    <row r="88" spans="1:15" ht="17.7" customHeight="1">
      <c r="A88" s="64" t="s">
        <v>360</v>
      </c>
      <c r="B88" s="64"/>
      <c r="C88" s="65"/>
      <c r="D88" s="65" t="str">
        <f>IF(A88="","",IF(COUNTIF(Producción!$B$2:$B$101,A88)=0,"SUELTA",IF(COUNTIF(Producción!$B$2:$B$101,A88)&gt;1,"DUPLICADA",IF(INDEX(Producción!$E$2:$E$101,MATCH(A88,Producción!$B$2:$B$101,0))="","SUELTA",TEXT(INDEX(Producción!$A$2:$A$101,MATCH(A88,Producción!$B$2:$B$101,0)),"0000")))))</f>
        <v>0107</v>
      </c>
      <c r="E88" s="20"/>
      <c r="F88" s="64" t="s">
        <v>460</v>
      </c>
      <c r="G88" s="64"/>
      <c r="H88" s="65"/>
      <c r="I88" s="65" t="str">
        <f>IF(F88="","",IF(COUNTIF(Producción!$E$2:$E$101,F88)=0,"SUELTA",IF(COUNTIF(Producción!$E$2:$E$101,F88)&gt;1,"DUPLICADA",IF(INDEX(Producción!$B$2:$B$101,MATCH(F88,Producción!$E$2:$E$101,0))="","SUELTA",TEXT(INDEX(Producción!$A$2:$A$101,MATCH(F88,Producción!$E$2:$E$101,0)),"0000")))))</f>
        <v>0099</v>
      </c>
      <c r="K88" s="64" t="s">
        <v>566</v>
      </c>
      <c r="L88" s="65"/>
      <c r="M88" s="64" t="str">
        <f>IF(K88="","",IF(COUNTIF(Producción!$H$2:$H$101,K88)=0,"DISPONIBLE",IF(COUNTIF(Producción!$H$2:$H$101,K88)&gt;1,"DUPLICADA",INDEX(Producción!$A$2:$A$101,MATCH(K88,Producción!$H$2:$H$101,0)))))</f>
        <v>DISPONIBLE</v>
      </c>
      <c r="O88" s="64" t="str">
        <v>TQT-R3-V30-0097</v>
      </c>
    </row>
    <row r="89" spans="1:15" ht="17.7" customHeight="1">
      <c r="A89" s="64" t="s">
        <v>361</v>
      </c>
      <c r="B89" s="64"/>
      <c r="C89" s="65"/>
      <c r="D89" s="65" t="str">
        <f>IF(A89="","",IF(COUNTIF(Producción!$B$2:$B$101,A89)=0,"SUELTA",IF(COUNTIF(Producción!$B$2:$B$101,A89)&gt;1,"DUPLICADA",IF(INDEX(Producción!$E$2:$E$101,MATCH(A89,Producción!$B$2:$B$101,0))="","SUELTA",TEXT(INDEX(Producción!$A$2:$A$101,MATCH(A89,Producción!$B$2:$B$101,0)),"0000")))))</f>
        <v>0112</v>
      </c>
      <c r="E89" s="20"/>
      <c r="F89" s="64" t="s">
        <v>461</v>
      </c>
      <c r="G89" s="64"/>
      <c r="H89" s="65"/>
      <c r="I89" s="65" t="str">
        <f>IF(F89="","",IF(COUNTIF(Producción!$E$2:$E$101,F89)=0,"SUELTA",IF(COUNTIF(Producción!$E$2:$E$101,F89)&gt;1,"DUPLICADA",IF(INDEX(Producción!$B$2:$B$101,MATCH(F89,Producción!$E$2:$E$101,0))="","SUELTA",TEXT(INDEX(Producción!$A$2:$A$101,MATCH(F89,Producción!$E$2:$E$101,0)),"0000")))))</f>
        <v>0100</v>
      </c>
      <c r="K89" s="64" t="s">
        <v>567</v>
      </c>
      <c r="L89" s="65"/>
      <c r="M89" s="64" t="str">
        <f>IF(K89="","",IF(COUNTIF(Producción!$H$2:$H$101,K89)=0,"DISPONIBLE",IF(COUNTIF(Producción!$H$2:$H$101,K89)&gt;1,"DUPLICADA",INDEX(Producción!$A$2:$A$101,MATCH(K89,Producción!$H$2:$H$101,0)))))</f>
        <v>DISPONIBLE</v>
      </c>
      <c r="O89" s="64" t="str">
        <v>TQT-R3-V30-0098</v>
      </c>
    </row>
    <row r="90" spans="1:15" ht="17.7" customHeight="1">
      <c r="A90" s="64" t="s">
        <v>362</v>
      </c>
      <c r="B90" s="64"/>
      <c r="C90" s="65"/>
      <c r="D90" s="65" t="str">
        <f>IF(A90="","",IF(COUNTIF(Producción!$B$2:$B$101,A90)=0,"SUELTA",IF(COUNTIF(Producción!$B$2:$B$101,A90)&gt;1,"DUPLICADA",IF(INDEX(Producción!$E$2:$E$101,MATCH(A90,Producción!$B$2:$B$101,0))="","SUELTA",TEXT(INDEX(Producción!$A$2:$A$101,MATCH(A90,Producción!$B$2:$B$101,0)),"0000")))))</f>
        <v>0113</v>
      </c>
      <c r="E90" s="20"/>
      <c r="F90" s="64" t="s">
        <v>462</v>
      </c>
      <c r="G90" s="64"/>
      <c r="H90" s="65"/>
      <c r="I90" s="65" t="str">
        <f>IF(F90="","",IF(COUNTIF(Producción!$E$2:$E$101,F90)=0,"SUELTA",IF(COUNTIF(Producción!$E$2:$E$101,F90)&gt;1,"DUPLICADA",IF(INDEX(Producción!$B$2:$B$101,MATCH(F90,Producción!$E$2:$E$101,0))="","SUELTA",TEXT(INDEX(Producción!$A$2:$A$101,MATCH(F90,Producción!$E$2:$E$101,0)),"0000")))))</f>
        <v>0101</v>
      </c>
      <c r="K90" s="64" t="s">
        <v>568</v>
      </c>
      <c r="L90" s="65"/>
      <c r="M90" s="64" t="str">
        <f>IF(K90="","",IF(COUNTIF(Producción!$H$2:$H$101,K90)=0,"DISPONIBLE",IF(COUNTIF(Producción!$H$2:$H$101,K90)&gt;1,"DUPLICADA",INDEX(Producción!$A$2:$A$101,MATCH(K90,Producción!$H$2:$H$101,0)))))</f>
        <v>DISPONIBLE</v>
      </c>
      <c r="O90" s="64" t="str">
        <v>TQT-R3-V30-0099</v>
      </c>
    </row>
    <row r="91" spans="1:15" ht="17.7" customHeight="1">
      <c r="A91" s="64" t="s">
        <v>363</v>
      </c>
      <c r="B91" s="64"/>
      <c r="C91" s="65"/>
      <c r="D91" s="65" t="str">
        <f>IF(A91="","",IF(COUNTIF(Producción!$B$2:$B$101,A91)=0,"SUELTA",IF(COUNTIF(Producción!$B$2:$B$101,A91)&gt;1,"DUPLICADA",IF(INDEX(Producción!$E$2:$E$101,MATCH(A91,Producción!$B$2:$B$101,0))="","SUELTA",TEXT(INDEX(Producción!$A$2:$A$101,MATCH(A91,Producción!$B$2:$B$101,0)),"0000")))))</f>
        <v>0114</v>
      </c>
      <c r="E91" s="20"/>
      <c r="F91" s="64" t="s">
        <v>463</v>
      </c>
      <c r="G91" s="64"/>
      <c r="H91" s="65"/>
      <c r="I91" s="65" t="str">
        <f>IF(F91="","",IF(COUNTIF(Producción!$E$2:$E$101,F91)=0,"SUELTA",IF(COUNTIF(Producción!$E$2:$E$101,F91)&gt;1,"DUPLICADA",IF(INDEX(Producción!$B$2:$B$101,MATCH(F91,Producción!$E$2:$E$101,0))="","SUELTA",TEXT(INDEX(Producción!$A$2:$A$101,MATCH(F91,Producción!$E$2:$E$101,0)),"0000")))))</f>
        <v>0121</v>
      </c>
      <c r="K91" s="64" t="s">
        <v>569</v>
      </c>
      <c r="L91" s="65"/>
      <c r="M91" s="64" t="str">
        <f>IF(K91="","",IF(COUNTIF(Producción!$H$2:$H$101,K91)=0,"DISPONIBLE",IF(COUNTIF(Producción!$H$2:$H$101,K91)&gt;1,"DUPLICADA",INDEX(Producción!$A$2:$A$101,MATCH(K91,Producción!$H$2:$H$101,0)))))</f>
        <v>DISPONIBLE</v>
      </c>
      <c r="O91" s="64" t="str">
        <v>TQT-R3-V30-0100</v>
      </c>
    </row>
    <row r="92" spans="1:15" ht="17.7" customHeight="1">
      <c r="A92" s="64" t="s">
        <v>364</v>
      </c>
      <c r="B92" s="64"/>
      <c r="C92" s="65"/>
      <c r="D92" s="65" t="str">
        <f>IF(A92="","",IF(COUNTIF(Producción!$B$2:$B$101,A92)=0,"SUELTA",IF(COUNTIF(Producción!$B$2:$B$101,A92)&gt;1,"DUPLICADA",IF(INDEX(Producción!$E$2:$E$101,MATCH(A92,Producción!$B$2:$B$101,0))="","SUELTA",TEXT(INDEX(Producción!$A$2:$A$101,MATCH(A92,Producción!$B$2:$B$101,0)),"0000")))))</f>
        <v>0117</v>
      </c>
      <c r="E92" s="20"/>
      <c r="F92" s="64" t="s">
        <v>464</v>
      </c>
      <c r="G92" s="64"/>
      <c r="H92" s="65"/>
      <c r="I92" s="65" t="str">
        <f>IF(F92="","",IF(COUNTIF(Producción!$E$2:$E$101,F92)=0,"SUELTA",IF(COUNTIF(Producción!$E$2:$E$101,F92)&gt;1,"DUPLICADA",IF(INDEX(Producción!$B$2:$B$101,MATCH(F92,Producción!$E$2:$E$101,0))="","SUELTA",TEXT(INDEX(Producción!$A$2:$A$101,MATCH(F92,Producción!$E$2:$E$101,0)),"0000")))))</f>
        <v>0103</v>
      </c>
      <c r="K92" s="64" t="s">
        <v>570</v>
      </c>
      <c r="L92" s="65"/>
      <c r="M92" s="64" t="str">
        <f>IF(K92="","",IF(COUNTIF(Producción!$H$2:$H$101,K92)=0,"DISPONIBLE",IF(COUNTIF(Producción!$H$2:$H$101,K92)&gt;1,"DUPLICADA",INDEX(Producción!$A$2:$A$101,MATCH(K92,Producción!$H$2:$H$101,0)))))</f>
        <v>DISPONIBLE</v>
      </c>
      <c r="O92" s="64" t="str">
        <v>TQT-R3-V30-0101</v>
      </c>
    </row>
    <row r="93" spans="1:15" ht="17.7" customHeight="1">
      <c r="A93" s="64" t="s">
        <v>365</v>
      </c>
      <c r="B93" s="64"/>
      <c r="C93" s="65"/>
      <c r="D93" s="65" t="str">
        <f>IF(A93="","",IF(COUNTIF(Producción!$B$2:$B$101,A93)=0,"SUELTA",IF(COUNTIF(Producción!$B$2:$B$101,A93)&gt;1,"DUPLICADA",IF(INDEX(Producción!$E$2:$E$101,MATCH(A93,Producción!$B$2:$B$101,0))="","SUELTA",TEXT(INDEX(Producción!$A$2:$A$101,MATCH(A93,Producción!$B$2:$B$101,0)),"0000")))))</f>
        <v>0118</v>
      </c>
      <c r="E93" s="20"/>
      <c r="F93" s="64" t="s">
        <v>465</v>
      </c>
      <c r="G93" s="64"/>
      <c r="H93" s="65"/>
      <c r="I93" s="65" t="str">
        <f>IF(F93="","",IF(COUNTIF(Producción!$E$2:$E$101,F93)=0,"SUELTA",IF(COUNTIF(Producción!$E$2:$E$101,F93)&gt;1,"DUPLICADA",IF(INDEX(Producción!$B$2:$B$101,MATCH(F93,Producción!$E$2:$E$101,0))="","SUELTA",TEXT(INDEX(Producción!$A$2:$A$101,MATCH(F93,Producción!$E$2:$E$101,0)),"0000")))))</f>
        <v>0104</v>
      </c>
      <c r="K93" s="64" t="s">
        <v>571</v>
      </c>
      <c r="L93" s="65"/>
      <c r="M93" s="64" t="str">
        <f>IF(K93="","",IF(COUNTIF(Producción!$H$2:$H$101,K93)=0,"DISPONIBLE",IF(COUNTIF(Producción!$H$2:$H$101,K93)&gt;1,"DUPLICADA",INDEX(Producción!$A$2:$A$101,MATCH(K93,Producción!$H$2:$H$101,0)))))</f>
        <v>DISPONIBLE</v>
      </c>
      <c r="O93" s="64" t="str">
        <v>TQT-R3-V30-0102</v>
      </c>
    </row>
    <row r="94" spans="1:15" ht="17.7" customHeight="1">
      <c r="A94" s="64" t="s">
        <v>366</v>
      </c>
      <c r="B94" s="64"/>
      <c r="C94" s="65"/>
      <c r="D94" s="65" t="str">
        <f>IF(A94="","",IF(COUNTIF(Producción!$B$2:$B$101,A94)=0,"SUELTA",IF(COUNTIF(Producción!$B$2:$B$101,A94)&gt;1,"DUPLICADA",IF(INDEX(Producción!$E$2:$E$101,MATCH(A94,Producción!$B$2:$B$101,0))="","SUELTA",TEXT(INDEX(Producción!$A$2:$A$101,MATCH(A94,Producción!$B$2:$B$101,0)),"0000")))))</f>
        <v>0119</v>
      </c>
      <c r="E94" s="20"/>
      <c r="F94" s="64" t="s">
        <v>466</v>
      </c>
      <c r="G94" s="64"/>
      <c r="H94" s="65"/>
      <c r="I94" s="65" t="str">
        <f>IF(F94="","",IF(COUNTIF(Producción!$E$2:$E$101,F94)=0,"SUELTA",IF(COUNTIF(Producción!$E$2:$E$101,F94)&gt;1,"DUPLICADA",IF(INDEX(Producción!$B$2:$B$101,MATCH(F94,Producción!$E$2:$E$101,0))="","SUELTA",TEXT(INDEX(Producción!$A$2:$A$101,MATCH(F94,Producción!$E$2:$E$101,0)),"0000")))))</f>
        <v>0105</v>
      </c>
      <c r="K94" s="64" t="s">
        <v>572</v>
      </c>
      <c r="L94" s="65"/>
      <c r="M94" s="64" t="str">
        <f>IF(K94="","",IF(COUNTIF(Producción!$H$2:$H$101,K94)=0,"DISPONIBLE",IF(COUNTIF(Producción!$H$2:$H$101,K94)&gt;1,"DUPLICADA",INDEX(Producción!$A$2:$A$101,MATCH(K94,Producción!$H$2:$H$101,0)))))</f>
        <v>DISPONIBLE</v>
      </c>
      <c r="O94" s="64" t="str">
        <v>TQT-R3-V30-0103</v>
      </c>
    </row>
    <row r="95" spans="1:15" ht="17.7" customHeight="1">
      <c r="A95" s="64" t="s">
        <v>367</v>
      </c>
      <c r="B95" s="64"/>
      <c r="C95" s="65"/>
      <c r="D95" s="65" t="str">
        <f>IF(A95="","",IF(COUNTIF(Producción!$B$2:$B$101,A95)=0,"SUELTA",IF(COUNTIF(Producción!$B$2:$B$101,A95)&gt;1,"DUPLICADA",IF(INDEX(Producción!$E$2:$E$101,MATCH(A95,Producción!$B$2:$B$101,0))="","SUELTA",TEXT(INDEX(Producción!$A$2:$A$101,MATCH(A95,Producción!$B$2:$B$101,0)),"0000")))))</f>
        <v>0120</v>
      </c>
      <c r="E95" s="20"/>
      <c r="F95" s="64" t="s">
        <v>467</v>
      </c>
      <c r="G95" s="64"/>
      <c r="H95" s="65"/>
      <c r="I95" s="65" t="str">
        <f>IF(F95="","",IF(COUNTIF(Producción!$E$2:$E$101,F95)=0,"SUELTA",IF(COUNTIF(Producción!$E$2:$E$101,F95)&gt;1,"DUPLICADA",IF(INDEX(Producción!$B$2:$B$101,MATCH(F95,Producción!$E$2:$E$101,0))="","SUELTA",TEXT(INDEX(Producción!$A$2:$A$101,MATCH(F95,Producción!$E$2:$E$101,0)),"0000")))))</f>
        <v>0122</v>
      </c>
      <c r="K95" s="64" t="s">
        <v>573</v>
      </c>
      <c r="L95" s="65"/>
      <c r="M95" s="64" t="str">
        <f>IF(K95="","",IF(COUNTIF(Producción!$H$2:$H$101,K95)=0,"DISPONIBLE",IF(COUNTIF(Producción!$H$2:$H$101,K95)&gt;1,"DUPLICADA",INDEX(Producción!$A$2:$A$101,MATCH(K95,Producción!$H$2:$H$101,0)))))</f>
        <v>DISPONIBLE</v>
      </c>
      <c r="O95" s="64" t="str">
        <v>TQT-R3-V30-0104</v>
      </c>
    </row>
    <row r="96" spans="1:15" ht="17.7" customHeight="1">
      <c r="A96" s="64" t="s">
        <v>368</v>
      </c>
      <c r="B96" s="64"/>
      <c r="C96" s="65"/>
      <c r="D96" s="65" t="str">
        <f>IF(A96="","",IF(COUNTIF(Producción!$B$2:$B$101,A96)=0,"SUELTA",IF(COUNTIF(Producción!$B$2:$B$101,A96)&gt;1,"DUPLICADA",IF(INDEX(Producción!$E$2:$E$101,MATCH(A96,Producción!$B$2:$B$101,0))="","SUELTA",TEXT(INDEX(Producción!$A$2:$A$101,MATCH(A96,Producción!$B$2:$B$101,0)),"0000")))))</f>
        <v>0121</v>
      </c>
      <c r="E96" s="20"/>
      <c r="F96" s="64" t="s">
        <v>468</v>
      </c>
      <c r="G96" s="64"/>
      <c r="H96" s="65"/>
      <c r="I96" s="65" t="str">
        <f>IF(F96="","",IF(COUNTIF(Producción!$E$2:$E$101,F96)=0,"SUELTA",IF(COUNTIF(Producción!$E$2:$E$101,F96)&gt;1,"DUPLICADA",IF(INDEX(Producción!$B$2:$B$101,MATCH(F96,Producción!$E$2:$E$101,0))="","SUELTA",TEXT(INDEX(Producción!$A$2:$A$101,MATCH(F96,Producción!$E$2:$E$101,0)),"0000")))))</f>
        <v>0123</v>
      </c>
      <c r="K96" s="64" t="s">
        <v>574</v>
      </c>
      <c r="L96" s="65"/>
      <c r="M96" s="64" t="str">
        <f>IF(K96="","",IF(COUNTIF(Producción!$H$2:$H$101,K96)=0,"DISPONIBLE",IF(COUNTIF(Producción!$H$2:$H$101,K96)&gt;1,"DUPLICADA",INDEX(Producción!$A$2:$A$101,MATCH(K96,Producción!$H$2:$H$101,0)))))</f>
        <v>DISPONIBLE</v>
      </c>
      <c r="O96" s="64" t="str">
        <v>TQT-R3-V30-0105</v>
      </c>
    </row>
    <row r="97" spans="1:15" ht="17.7" customHeight="1">
      <c r="A97" s="64" t="s">
        <v>369</v>
      </c>
      <c r="B97" s="64"/>
      <c r="C97" s="65"/>
      <c r="D97" s="65" t="str">
        <f>IF(A97="","",IF(COUNTIF(Producción!$B$2:$B$101,A97)=0,"SUELTA",IF(COUNTIF(Producción!$B$2:$B$101,A97)&gt;1,"DUPLICADA",IF(INDEX(Producción!$E$2:$E$101,MATCH(A97,Producción!$B$2:$B$101,0))="","SUELTA",TEXT(INDEX(Producción!$A$2:$A$101,MATCH(A97,Producción!$B$2:$B$101,0)),"0000")))))</f>
        <v>0122</v>
      </c>
      <c r="E97" s="20"/>
      <c r="F97" s="64" t="s">
        <v>469</v>
      </c>
      <c r="G97" s="64"/>
      <c r="H97" s="65"/>
      <c r="I97" s="65" t="str">
        <f>IF(F97="","",IF(COUNTIF(Producción!$E$2:$E$101,F97)=0,"SUELTA",IF(COUNTIF(Producción!$E$2:$E$101,F97)&gt;1,"DUPLICADA",IF(INDEX(Producción!$B$2:$B$101,MATCH(F97,Producción!$E$2:$E$101,0))="","SUELTA",TEXT(INDEX(Producción!$A$2:$A$101,MATCH(F97,Producción!$E$2:$E$101,0)),"0000")))))</f>
        <v>0125</v>
      </c>
      <c r="K97" s="64" t="s">
        <v>575</v>
      </c>
      <c r="L97" s="65"/>
      <c r="M97" s="64" t="str">
        <f>IF(K97="","",IF(COUNTIF(Producción!$H$2:$H$101,K97)=0,"DISPONIBLE",IF(COUNTIF(Producción!$H$2:$H$101,K97)&gt;1,"DUPLICADA",INDEX(Producción!$A$2:$A$101,MATCH(K97,Producción!$H$2:$H$101,0)))))</f>
        <v>DISPONIBLE</v>
      </c>
      <c r="O97" s="64" t="str">
        <v>TQT-R3-V30-0106</v>
      </c>
    </row>
    <row r="98" spans="1:15" ht="17.7" customHeight="1">
      <c r="A98" s="64" t="s">
        <v>370</v>
      </c>
      <c r="B98" s="64"/>
      <c r="C98" s="65"/>
      <c r="D98" s="65" t="str">
        <f>IF(A98="","",IF(COUNTIF(Producción!$B$2:$B$101,A98)=0,"SUELTA",IF(COUNTIF(Producción!$B$2:$B$101,A98)&gt;1,"DUPLICADA",IF(INDEX(Producción!$E$2:$E$101,MATCH(A98,Producción!$B$2:$B$101,0))="","SUELTA",TEXT(INDEX(Producción!$A$2:$A$101,MATCH(A98,Producción!$B$2:$B$101,0)),"0000")))))</f>
        <v>0123</v>
      </c>
      <c r="E98" s="20"/>
      <c r="F98" s="64" t="s">
        <v>470</v>
      </c>
      <c r="G98" s="64"/>
      <c r="H98" s="65"/>
      <c r="I98" s="65" t="str">
        <f>IF(F98="","",IF(COUNTIF(Producción!$E$2:$E$101,F98)=0,"SUELTA",IF(COUNTIF(Producción!$E$2:$E$101,F98)&gt;1,"DUPLICADA",IF(INDEX(Producción!$B$2:$B$101,MATCH(F98,Producción!$E$2:$E$101,0))="","SUELTA",TEXT(INDEX(Producción!$A$2:$A$101,MATCH(F98,Producción!$E$2:$E$101,0)),"0000")))))</f>
        <v>0127</v>
      </c>
      <c r="K98" s="64" t="s">
        <v>576</v>
      </c>
      <c r="L98" s="65"/>
      <c r="M98" s="64" t="str">
        <f>IF(K98="","",IF(COUNTIF(Producción!$H$2:$H$101,K98)=0,"DISPONIBLE",IF(COUNTIF(Producción!$H$2:$H$101,K98)&gt;1,"DUPLICADA",INDEX(Producción!$A$2:$A$101,MATCH(K98,Producción!$H$2:$H$101,0)))))</f>
        <v>DISPONIBLE</v>
      </c>
      <c r="O98" s="64" t="str">
        <v>TQT-R3-V30-0107</v>
      </c>
    </row>
    <row r="99" spans="1:15" ht="17.7" customHeight="1">
      <c r="A99" s="64" t="s">
        <v>371</v>
      </c>
      <c r="B99" s="64"/>
      <c r="C99" s="65"/>
      <c r="D99" s="65" t="str">
        <f>IF(A99="","",IF(COUNTIF(Producción!$B$2:$B$101,A99)=0,"SUELTA",IF(COUNTIF(Producción!$B$2:$B$101,A99)&gt;1,"DUPLICADA",IF(INDEX(Producción!$E$2:$E$101,MATCH(A99,Producción!$B$2:$B$101,0))="","SUELTA",TEXT(INDEX(Producción!$A$2:$A$101,MATCH(A99,Producción!$B$2:$B$101,0)),"0000")))))</f>
        <v>0125</v>
      </c>
      <c r="E99" s="20"/>
      <c r="F99" s="64" t="s">
        <v>471</v>
      </c>
      <c r="G99" s="64"/>
      <c r="H99" s="65"/>
      <c r="I99" s="65" t="str">
        <f>IF(F99="","",IF(COUNTIF(Producción!$E$2:$E$101,F99)=0,"SUELTA",IF(COUNTIF(Producción!$E$2:$E$101,F99)&gt;1,"DUPLICADA",IF(INDEX(Producción!$B$2:$B$101,MATCH(F99,Producción!$E$2:$E$101,0))="","SUELTA",TEXT(INDEX(Producción!$A$2:$A$101,MATCH(F99,Producción!$E$2:$E$101,0)),"0000")))))</f>
        <v>0128</v>
      </c>
      <c r="K99" s="64" t="s">
        <v>577</v>
      </c>
      <c r="L99" s="65"/>
      <c r="M99" s="64" t="str">
        <f>IF(K99="","",IF(COUNTIF(Producción!$H$2:$H$101,K99)=0,"DISPONIBLE",IF(COUNTIF(Producción!$H$2:$H$101,K99)&gt;1,"DUPLICADA",INDEX(Producción!$A$2:$A$101,MATCH(K99,Producción!$H$2:$H$101,0)))))</f>
        <v>DISPONIBLE</v>
      </c>
      <c r="O99" s="64" t="str">
        <v>TQT-R3-V30-0108</v>
      </c>
    </row>
    <row r="100" spans="1:15" ht="17.7" customHeight="1">
      <c r="A100" s="64" t="s">
        <v>372</v>
      </c>
      <c r="B100" s="64"/>
      <c r="C100" s="65"/>
      <c r="D100" s="65" t="str">
        <f>IF(A100="","",IF(COUNTIF(Producción!$B$2:$B$101,A100)=0,"SUELTA",IF(COUNTIF(Producción!$B$2:$B$101,A100)&gt;1,"DUPLICADA",IF(INDEX(Producción!$E$2:$E$101,MATCH(A100,Producción!$B$2:$B$101,0))="","SUELTA",TEXT(INDEX(Producción!$A$2:$A$101,MATCH(A100,Producción!$B$2:$B$101,0)),"0000")))))</f>
        <v>0127</v>
      </c>
      <c r="E100" s="20"/>
      <c r="F100" s="64" t="s">
        <v>472</v>
      </c>
      <c r="G100" s="64"/>
      <c r="H100" s="65"/>
      <c r="I100" s="65" t="str">
        <f>IF(F100="","",IF(COUNTIF(Producción!$E$2:$E$101,F100)=0,"SUELTA",IF(COUNTIF(Producción!$E$2:$E$101,F100)&gt;1,"DUPLICADA",IF(INDEX(Producción!$B$2:$B$101,MATCH(F100,Producción!$E$2:$E$101,0))="","SUELTA",TEXT(INDEX(Producción!$A$2:$A$101,MATCH(F100,Producción!$E$2:$E$101,0)),"0000")))))</f>
        <v>0130</v>
      </c>
      <c r="K100" s="64" t="s">
        <v>578</v>
      </c>
      <c r="L100" s="65"/>
      <c r="M100" s="64" t="str">
        <f>IF(K100="","",IF(COUNTIF(Producción!$H$2:$H$101,K100)=0,"DISPONIBLE",IF(COUNTIF(Producción!$H$2:$H$101,K100)&gt;1,"DUPLICADA",INDEX(Producción!$A$2:$A$101,MATCH(K100,Producción!$H$2:$H$101,0)))))</f>
        <v>DISPONIBLE</v>
      </c>
      <c r="O100" s="64" t="str">
        <v>TQT-R3-V30-0109</v>
      </c>
    </row>
    <row r="101" spans="1:15" ht="17.7" customHeight="1">
      <c r="A101" s="64" t="s">
        <v>373</v>
      </c>
      <c r="B101" s="64"/>
      <c r="C101" s="65"/>
      <c r="D101" s="65" t="str">
        <f>IF(A101="","",IF(COUNTIF(Producción!$B$2:$B$101,A101)=0,"SUELTA",IF(COUNTIF(Producción!$B$2:$B$101,A101)&gt;1,"DUPLICADA",IF(INDEX(Producción!$E$2:$E$101,MATCH(A101,Producción!$B$2:$B$101,0))="","SUELTA",TEXT(INDEX(Producción!$A$2:$A$101,MATCH(A101,Producción!$B$2:$B$101,0)),"0000")))))</f>
        <v>0128</v>
      </c>
      <c r="E101" s="20"/>
      <c r="F101" s="64" t="s">
        <v>473</v>
      </c>
      <c r="G101" s="64"/>
      <c r="H101" s="65"/>
      <c r="I101" s="65" t="str">
        <f>IF(F101="","",IF(COUNTIF(Producción!$E$2:$E$101,F101)=0,"SUELTA",IF(COUNTIF(Producción!$E$2:$E$101,F101)&gt;1,"DUPLICADA",IF(INDEX(Producción!$B$2:$B$101,MATCH(F101,Producción!$E$2:$E$101,0))="","SUELTA",TEXT(INDEX(Producción!$A$2:$A$101,MATCH(F101,Producción!$E$2:$E$101,0)),"0000")))))</f>
        <v>0117</v>
      </c>
      <c r="K101" s="64" t="s">
        <v>579</v>
      </c>
      <c r="L101" s="65"/>
      <c r="M101" s="64" t="str">
        <f>IF(K101="","",IF(COUNTIF(Producción!$H$2:$H$101,K101)=0,"DISPONIBLE",IF(COUNTIF(Producción!$H$2:$H$101,K101)&gt;1,"DUPLICADA",INDEX(Producción!$A$2:$A$101,MATCH(K101,Producción!$H$2:$H$101,0)))))</f>
        <v>DISPONIBLE</v>
      </c>
      <c r="O101" s="64" t="str">
        <v>TQT-R3-V30-0111</v>
      </c>
    </row>
    <row r="102" spans="1:15" ht="17.7" customHeight="1">
      <c r="A102" s="64" t="s">
        <v>374</v>
      </c>
      <c r="B102" s="64"/>
      <c r="C102" s="65"/>
      <c r="D102" s="65" t="str">
        <f>IF(A102="","",IF(COUNTIF(Producción!$B$2:$B$101,A102)=0,"SUELTA",IF(COUNTIF(Producción!$B$2:$B$101,A102)&gt;1,"DUPLICADA",IF(INDEX(Producción!$E$2:$E$101,MATCH(A102,Producción!$B$2:$B$101,0))="","SUELTA",TEXT(INDEX(Producción!$A$2:$A$101,MATCH(A102,Producción!$B$2:$B$101,0)),"0000")))))</f>
        <v>0130</v>
      </c>
      <c r="E102" s="20"/>
      <c r="F102" s="64" t="s">
        <v>474</v>
      </c>
      <c r="G102" s="64"/>
      <c r="H102" s="65"/>
      <c r="I102" s="65" t="str">
        <f>IF(F102="","",IF(COUNTIF(Producción!$E$2:$E$101,F102)=0,"SUELTA",IF(COUNTIF(Producción!$E$2:$E$101,F102)&gt;1,"DUPLICADA",IF(INDEX(Producción!$B$2:$B$101,MATCH(F102,Producción!$E$2:$E$101,0))="","SUELTA",TEXT(INDEX(Producción!$A$2:$A$101,MATCH(F102,Producción!$E$2:$E$101,0)),"0000")))))</f>
        <v>0118</v>
      </c>
      <c r="K102" s="64" t="s">
        <v>580</v>
      </c>
      <c r="L102" s="65"/>
      <c r="M102" s="64" t="str">
        <f>IF(K102="","",IF(COUNTIF(Producción!$H$2:$H$101,K102)=0,"DISPONIBLE",IF(COUNTIF(Producción!$H$2:$H$101,K102)&gt;1,"DUPLICADA",INDEX(Producción!$A$2:$A$101,MATCH(K102,Producción!$H$2:$H$101,0)))))</f>
        <v>DISPONIBLE</v>
      </c>
      <c r="O102" s="64" t="str">
        <v>TQT-R3-V30-0112</v>
      </c>
    </row>
    <row r="154" ht="11.4" customHeight="1"/>
    <row r="155" ht="12.45" customHeight="1"/>
  </sheetData>
  <conditionalFormatting sqref="C3:C152">
    <cfRule type="expression" dxfId="11" priority="1">
      <formula>C3="FUNCIONAL"</formula>
    </cfRule>
  </conditionalFormatting>
  <conditionalFormatting sqref="C3:C152">
    <cfRule type="expression" dxfId="10" priority="2">
      <formula>C3="NO FUNCIONAL"</formula>
    </cfRule>
  </conditionalFormatting>
  <conditionalFormatting sqref="H3:H152">
    <cfRule type="expression" dxfId="9" priority="3">
      <formula>H3="FUNCIONAL"</formula>
    </cfRule>
  </conditionalFormatting>
  <conditionalFormatting sqref="H3:H152">
    <cfRule type="expression" dxfId="8" priority="4">
      <formula>H3="NO FUNCIONAL"</formula>
    </cfRule>
  </conditionalFormatting>
  <conditionalFormatting sqref="L3:L152">
    <cfRule type="expression" dxfId="7" priority="5">
      <formula>L3="FUNCIONAL"</formula>
    </cfRule>
  </conditionalFormatting>
  <conditionalFormatting sqref="L3:L152">
    <cfRule type="expression" dxfId="6" priority="6">
      <formula>L3="NO FUNCIONAL"</formula>
    </cfRule>
  </conditionalFormatting>
  <conditionalFormatting sqref="D3:D152">
    <cfRule type="expression" dxfId="5" priority="7">
      <formula>D3="SUELTA"</formula>
    </cfRule>
  </conditionalFormatting>
  <conditionalFormatting sqref="D3:D152">
    <cfRule type="expression" dxfId="4" priority="8">
      <formula>D3="DUPLICADA"</formula>
    </cfRule>
  </conditionalFormatting>
  <conditionalFormatting sqref="I3:I152">
    <cfRule type="expression" dxfId="3" priority="9">
      <formula>I3="SUELTA"</formula>
    </cfRule>
  </conditionalFormatting>
  <conditionalFormatting sqref="I3:I152">
    <cfRule type="expression" dxfId="2" priority="10">
      <formula>I3="DUPLICADA"</formula>
    </cfRule>
  </conditionalFormatting>
  <conditionalFormatting sqref="M3:M152">
    <cfRule type="expression" dxfId="1" priority="11">
      <formula>M3="DISPONIBLE"</formula>
    </cfRule>
  </conditionalFormatting>
  <conditionalFormatting sqref="M3:M152">
    <cfRule type="expression" dxfId="0" priority="12">
      <formula>M3="DUPLICADA"</formula>
    </cfRule>
  </conditionalFormatting>
  <dataValidations count="2">
    <dataValidation type="list" allowBlank="1" showErrorMessage="1" sqref="C3:C102 H3:H102" xr:uid="{00000000-0002-0000-0300-000000000000}">
      <formula1>"SIN PROBAR,FUNCIONAL,NO FUNCIONAL,REPARACIÓN"</formula1>
    </dataValidation>
    <dataValidation type="list" allowBlank="1" showInputMessage="1" showErrorMessage="1" sqref="L3:L102" xr:uid="{B1AC8866-A16E-4761-A0C5-BD0D3B4FD4CF}">
      <formula1>"SIN PROBAR,FUNCIONAL,NO FUNCIONAL,REPARACIÓN"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Producción</vt:lpstr>
      <vt:lpstr>Pruebas</vt:lpstr>
      <vt:lpstr>Etiquetas</vt:lpstr>
      <vt:lpstr>Catálogo PCB</vt:lpstr>
      <vt:lpstr>FirmwareList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SKYGUARDIAN</dc:creator>
  <cp:keywords/>
  <dc:description/>
  <cp:lastModifiedBy>Jair Molina - Desarrollador HW</cp:lastModifiedBy>
  <cp:revision/>
  <dcterms:created xsi:type="dcterms:W3CDTF">2026-08-27T22:45:30Z</dcterms:created>
  <dcterms:modified xsi:type="dcterms:W3CDTF">2026-09-25T17:47:27Z</dcterms:modified>
  <cp:category/>
  <cp:contentStatus/>
</cp:coreProperties>
</file>